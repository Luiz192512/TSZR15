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Custos" sheetId="2" state="visible" r:id="rId2"/>
    <sheet name="Resumo" sheetId="3" state="visible" r:id="rId3"/>
    <sheet name="Fontes" sheetId="4" state="visible" r:id="rId4"/>
  </sheets>
  <definedNames>
    <definedName name="_xlnm._FilterDatabase" localSheetId="0" hidden="1">'Premissas'!$A$1:$D$23</definedName>
    <definedName name="_xlnm._FilterDatabase" localSheetId="1" hidden="1">'Custos'!$A$1:$M$22</definedName>
    <definedName name="_xlnm._FilterDatabase" localSheetId="2" hidden="1">'Resumo'!$A$1:$C$9</definedName>
    <definedName name="_xlnm._FilterDatabase" localSheetId="3" hidden="1">'Fontes'!$A$1:$D$13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4" fontId="0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center" vertical="top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4" borderId="0" applyAlignment="1" pivotButton="0" quotePrefix="0" xfId="0">
      <alignment vertical="top" wrapText="1"/>
    </xf>
    <xf numFmtId="4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4" borderId="0" applyAlignment="1" pivotButton="0" quotePrefix="0" xfId="0">
      <alignment horizontal="center" vertical="top"/>
    </xf>
    <xf numFmtId="1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2" customWidth="1" min="2" max="2"/>
    <col width="16" customWidth="1" min="3" max="3"/>
    <col width="54" customWidth="1" min="4" max="4"/>
  </cols>
  <sheetData>
    <row r="1">
      <c r="A1" s="1" t="inlineStr">
        <is>
          <t>Campo</t>
        </is>
      </c>
      <c r="B1" s="1" t="inlineStr">
        <is>
          <t>Valor</t>
        </is>
      </c>
      <c r="C1" s="1" t="inlineStr">
        <is>
          <t>Unidade</t>
        </is>
      </c>
      <c r="D1" s="1" t="inlineStr">
        <is>
          <t>Observacao</t>
        </is>
      </c>
    </row>
    <row r="2">
      <c r="A2" t="inlineStr">
        <is>
          <t>Data da analise</t>
        </is>
      </c>
      <c r="B2" s="2" t="inlineStr">
        <is>
          <t>2026-04-28</t>
        </is>
      </c>
      <c r="C2" t="inlineStr"/>
      <c r="D2" s="2" t="inlineStr">
        <is>
          <t>Planilha gerada com precos oficiais consultados em 2026-04-28.</t>
        </is>
      </c>
    </row>
    <row r="3">
      <c r="A3" t="inlineStr">
        <is>
          <t>USD/BRL PTAX fechamento</t>
        </is>
      </c>
      <c r="B3" s="3" t="n">
        <v>4.97</v>
      </c>
      <c r="C3" t="inlineStr">
        <is>
          <t>BRL por USD</t>
        </is>
      </c>
      <c r="D3" s="2" t="inlineStr">
        <is>
          <t>Banco Central do Brasil, fechamento de 2026-04-27.</t>
        </is>
      </c>
    </row>
    <row r="4">
      <c r="A4" t="inlineStr">
        <is>
          <t>Pedidos por mes</t>
        </is>
      </c>
      <c r="B4" s="3" t="n">
        <v>100</v>
      </c>
      <c r="C4" t="inlineStr">
        <is>
          <t>pedidos</t>
        </is>
      </c>
      <c r="D4" s="2" t="inlineStr">
        <is>
          <t>Valor editavel.</t>
        </is>
      </c>
    </row>
    <row r="5">
      <c r="A5" t="inlineStr">
        <is>
          <t>Ticket medio</t>
        </is>
      </c>
      <c r="B5" s="3" t="n">
        <v>250</v>
      </c>
      <c r="C5" t="inlineStr">
        <is>
          <t>BRL</t>
        </is>
      </c>
      <c r="D5" s="2" t="inlineStr">
        <is>
          <t>Valor editavel.</t>
        </is>
      </c>
    </row>
    <row r="6">
      <c r="A6" t="inlineStr">
        <is>
          <t>GMV mensal</t>
        </is>
      </c>
      <c r="B6" s="2">
        <f>B3*B4</f>
        <v/>
      </c>
      <c r="C6" t="inlineStr">
        <is>
          <t>BRL</t>
        </is>
      </c>
      <c r="D6" s="2" t="inlineStr">
        <is>
          <t>Faturamento bruto mensal usado nas taxas variaveis.</t>
        </is>
      </c>
    </row>
    <row r="7">
      <c r="A7" t="inlineStr">
        <is>
          <t>Mix Pix</t>
        </is>
      </c>
      <c r="B7" s="4" t="n">
        <v>0.6</v>
      </c>
      <c r="C7" t="inlineStr">
        <is>
          <t>fracao</t>
        </is>
      </c>
      <c r="D7" s="2" t="inlineStr">
        <is>
          <t>Valor editavel.</t>
        </is>
      </c>
    </row>
    <row r="8">
      <c r="A8" t="inlineStr">
        <is>
          <t>Mix cartao</t>
        </is>
      </c>
      <c r="B8" s="4" t="n">
        <v>0.35</v>
      </c>
      <c r="C8" t="inlineStr">
        <is>
          <t>fracao</t>
        </is>
      </c>
      <c r="D8" s="2" t="inlineStr">
        <is>
          <t>Valor editavel.</t>
        </is>
      </c>
    </row>
    <row r="9">
      <c r="A9" t="inlineStr">
        <is>
          <t>Mix boleto</t>
        </is>
      </c>
      <c r="B9" s="4" t="n">
        <v>0.05</v>
      </c>
      <c r="C9" t="inlineStr">
        <is>
          <t>fracao</t>
        </is>
      </c>
      <c r="D9" s="2" t="inlineStr">
        <is>
          <t>Valor editavel.</t>
        </is>
      </c>
    </row>
    <row r="10">
      <c r="A10" t="inlineStr">
        <is>
          <t>Taxa cartao MP em 30 dias</t>
        </is>
      </c>
      <c r="B10" s="4" t="n">
        <v>0.0399</v>
      </c>
      <c r="C10" t="inlineStr">
        <is>
          <t>fracao</t>
        </is>
      </c>
      <c r="D10" s="2" t="inlineStr">
        <is>
          <t>Checkout online; fonte oficial Mercado Pago.</t>
        </is>
      </c>
    </row>
    <row r="11">
      <c r="A11" t="inlineStr">
        <is>
          <t>Taxa cartao MP na hora</t>
        </is>
      </c>
      <c r="B11" s="4" t="n">
        <v>0.0499</v>
      </c>
      <c r="C11" t="inlineStr">
        <is>
          <t>fracao</t>
        </is>
      </c>
      <c r="D11" s="2" t="inlineStr">
        <is>
          <t>Alternativa para comparacao de fluxo de caixa.</t>
        </is>
      </c>
    </row>
    <row r="12">
      <c r="A12" t="inlineStr">
        <is>
          <t>Taxa Pix MP</t>
        </is>
      </c>
      <c r="B12" s="4" t="n">
        <v>0.009900000000000001</v>
      </c>
      <c r="C12" t="inlineStr">
        <is>
          <t>fracao</t>
        </is>
      </c>
      <c r="D12" s="2" t="inlineStr">
        <is>
          <t>Checkout online; fonte oficial Mercado Pago.</t>
        </is>
      </c>
    </row>
    <row r="13">
      <c r="A13" t="inlineStr">
        <is>
          <t>Taxa boleto MP</t>
        </is>
      </c>
      <c r="B13" s="3" t="n">
        <v>3.49</v>
      </c>
      <c r="C13" t="inlineStr">
        <is>
          <t>BRL por boleto</t>
        </is>
      </c>
      <c r="D13" s="2" t="inlineStr">
        <is>
          <t>Checkout online; fonte oficial Mercado Pago.</t>
        </is>
      </c>
    </row>
    <row r="14">
      <c r="A14" t="inlineStr">
        <is>
          <t>Storage R2 usado</t>
        </is>
      </c>
      <c r="B14" s="3" t="n">
        <v>20</v>
      </c>
      <c r="C14" t="inlineStr">
        <is>
          <t>GB-mes</t>
        </is>
      </c>
      <c r="D14" s="2" t="inlineStr">
        <is>
          <t>Exemplo para imagens e modelos 3D; valor editavel.</t>
        </is>
      </c>
    </row>
    <row r="15">
      <c r="A15" t="inlineStr">
        <is>
          <t>Operacoes R2 Class A</t>
        </is>
      </c>
      <c r="B15" s="3" t="n">
        <v>0.1</v>
      </c>
      <c r="C15" t="inlineStr">
        <is>
          <t>milhoes/mes</t>
        </is>
      </c>
      <c r="D15" s="2" t="inlineStr">
        <is>
          <t>Exemplo; valor editavel.</t>
        </is>
      </c>
    </row>
    <row r="16">
      <c r="A16" t="inlineStr">
        <is>
          <t>Operacoes R2 Class B</t>
        </is>
      </c>
      <c r="B16" s="3" t="n">
        <v>2</v>
      </c>
      <c r="C16" t="inlineStr">
        <is>
          <t>milhoes/mes</t>
        </is>
      </c>
      <c r="D16" s="2" t="inlineStr">
        <is>
          <t>Exemplo; valor editavel.</t>
        </is>
      </c>
    </row>
    <row r="17">
      <c r="A17" t="inlineStr">
        <is>
          <t>Emails transacionais por mes</t>
        </is>
      </c>
      <c r="B17" s="3" t="n">
        <v>1500</v>
      </c>
      <c r="C17" t="inlineStr">
        <is>
          <t>emails</t>
        </is>
      </c>
      <c r="D17" s="2" t="inlineStr">
        <is>
          <t>Exemplo; 15 emails por 10 pedidos.</t>
        </is>
      </c>
    </row>
    <row r="18">
      <c r="A18" t="inlineStr">
        <is>
          <t>Caixas Google Workspace</t>
        </is>
      </c>
      <c r="B18" s="3" t="n">
        <v>1</v>
      </c>
      <c r="C18" t="inlineStr">
        <is>
          <t>usuarios</t>
        </is>
      </c>
      <c r="D18" s="2" t="inlineStr">
        <is>
          <t>Exemplo para suporte@ ou contato@.</t>
        </is>
      </c>
    </row>
    <row r="19">
      <c r="A19" t="inlineStr">
        <is>
          <t>Usar UptimeRobot Solo</t>
        </is>
      </c>
      <c r="B19" s="3" t="n">
        <v>1</v>
      </c>
      <c r="C19" t="inlineStr">
        <is>
          <t>0 ou 1</t>
        </is>
      </c>
      <c r="D19" s="2" t="inlineStr">
        <is>
          <t>Troque para 0 se nao quiser custo opcional.</t>
        </is>
      </c>
    </row>
    <row r="20">
      <c r="A20" t="inlineStr">
        <is>
          <t>Usar Resend Pro</t>
        </is>
      </c>
      <c r="B20" s="3" t="n">
        <v>0</v>
      </c>
      <c r="C20" t="inlineStr">
        <is>
          <t>0 ou 1</t>
        </is>
      </c>
      <c r="D20" s="2" t="inlineStr">
        <is>
          <t>0 usa Free; 1 usa Pro.</t>
        </is>
      </c>
    </row>
    <row r="21">
      <c r="A21" t="inlineStr">
        <is>
          <t>Transferencia extra Vercel</t>
        </is>
      </c>
      <c r="B21" s="3" t="n">
        <v>0</v>
      </c>
      <c r="C21" t="inlineStr">
        <is>
          <t>GB/mes</t>
        </is>
      </c>
      <c r="D21" s="2" t="inlineStr">
        <is>
          <t>Acima do que estiver incluido no plano.</t>
        </is>
      </c>
    </row>
    <row r="22">
      <c r="A22" t="inlineStr">
        <is>
          <t>Edge requests extras Vercel</t>
        </is>
      </c>
      <c r="B22" s="3" t="n">
        <v>0</v>
      </c>
      <c r="C22" t="inlineStr">
        <is>
          <t>milhoes/mes</t>
        </is>
      </c>
      <c r="D22" s="2" t="inlineStr">
        <is>
          <t>Acima do que estiver incluido no plano.</t>
        </is>
      </c>
    </row>
    <row r="23">
      <c r="A23" t="inlineStr">
        <is>
          <t>IOF sobre gastos internacionais</t>
        </is>
      </c>
      <c r="B23" s="4" t="n">
        <v>0.035</v>
      </c>
      <c r="C23" t="inlineStr">
        <is>
          <t>fracao</t>
        </is>
      </c>
      <c r="D23" s="2" t="inlineStr">
        <is>
          <t>Usado para estimar custo em cartao em SaaS cobrados em USD.</t>
        </is>
      </c>
    </row>
  </sheetData>
  <autoFilter ref="A1:D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9" customWidth="1" min="2" max="2"/>
    <col width="24" customWidth="1" min="3" max="3"/>
    <col width="13" customWidth="1" min="4" max="4"/>
    <col width="15" customWidth="1" min="5" max="5"/>
    <col width="12" customWidth="1" min="6" max="6"/>
    <col width="54" customWidth="1" min="7" max="7"/>
    <col width="32" customWidth="1" min="8" max="8"/>
    <col width="21" customWidth="1" min="9" max="9"/>
    <col width="21" customWidth="1" min="10" max="10"/>
    <col width="18" customWidth="1" min="11" max="11"/>
    <col width="54" customWidth="1" min="12" max="12"/>
    <col width="54" customWidth="1" min="13" max="13"/>
  </cols>
  <sheetData>
    <row r="1">
      <c r="A1" s="1" t="inlineStr">
        <is>
          <t>Categoria</t>
        </is>
      </c>
      <c r="B1" s="1" t="inlineStr">
        <is>
          <t>Item</t>
        </is>
      </c>
      <c r="C1" s="1" t="inlineStr">
        <is>
          <t>Provider</t>
        </is>
      </c>
      <c r="D1" s="1" t="inlineStr">
        <is>
          <t>Status</t>
        </is>
      </c>
      <c r="E1" s="1" t="inlineStr">
        <is>
          <t>Tipo</t>
        </is>
      </c>
      <c r="F1" s="1" t="inlineStr">
        <is>
          <t>Moeda</t>
        </is>
      </c>
      <c r="G1" s="1" t="inlineStr">
        <is>
          <t>Preco unitario</t>
        </is>
      </c>
      <c r="H1" s="1" t="inlineStr">
        <is>
          <t>Quantidade / formula</t>
        </is>
      </c>
      <c r="I1" s="1" t="inlineStr">
        <is>
          <t>Mensal moeda origem</t>
        </is>
      </c>
      <c r="J1" s="1" t="inlineStr">
        <is>
          <t>Mensal em BRL</t>
        </is>
      </c>
      <c r="K1" s="1" t="inlineStr">
        <is>
          <t>Incluir no total</t>
        </is>
      </c>
      <c r="L1" s="1" t="inlineStr">
        <is>
          <t>Notas</t>
        </is>
      </c>
      <c r="M1" s="1" t="inlineStr">
        <is>
          <t>Fonte</t>
        </is>
      </c>
    </row>
    <row r="2">
      <c r="A2" s="5" t="inlineStr">
        <is>
          <t>Dominio</t>
        </is>
      </c>
      <c r="B2" s="5" t="inlineStr">
        <is>
          <t>Dominio .com.br</t>
        </is>
      </c>
      <c r="C2" s="5" t="inlineStr">
        <is>
          <t>Registro.br</t>
        </is>
      </c>
      <c r="D2" s="5" t="inlineStr">
        <is>
          <t>Obrigatorio</t>
        </is>
      </c>
      <c r="E2" s="5" t="inlineStr">
        <is>
          <t>Fixo</t>
        </is>
      </c>
      <c r="F2" s="5" t="inlineStr">
        <is>
          <t>BRL</t>
        </is>
      </c>
      <c r="G2" s="6" t="n">
        <v>40</v>
      </c>
      <c r="H2" s="5">
        <f>1/12</f>
        <v/>
      </c>
      <c r="I2" s="6">
        <f>G2*H2</f>
        <v/>
      </c>
      <c r="J2" s="7">
        <f>I2</f>
        <v/>
      </c>
      <c r="K2" s="8" t="n">
        <v>1</v>
      </c>
      <c r="L2" s="5" t="inlineStr">
        <is>
          <t>Registro anual de dominio brasileiro; mensalizado para orcamento.</t>
        </is>
      </c>
      <c r="M2" s="5" t="inlineStr">
        <is>
          <t>https://registro.br/</t>
        </is>
      </c>
    </row>
    <row r="3">
      <c r="A3" s="2" t="inlineStr">
        <is>
          <t>Dominio</t>
        </is>
      </c>
      <c r="B3" s="2" t="inlineStr">
        <is>
          <t>Dominio .com (alternativa)</t>
        </is>
      </c>
      <c r="C3" s="2" t="inlineStr">
        <is>
          <t>Porkbun</t>
        </is>
      </c>
      <c r="D3" s="2" t="inlineStr">
        <is>
          <t>Alternativa</t>
        </is>
      </c>
      <c r="E3" s="2" t="inlineStr">
        <is>
          <t>Fixo</t>
        </is>
      </c>
      <c r="F3" s="2" t="inlineStr">
        <is>
          <t>USD</t>
        </is>
      </c>
      <c r="G3" s="3" t="n">
        <v>11.08</v>
      </c>
      <c r="H3" s="2">
        <f>1/12</f>
        <v/>
      </c>
      <c r="I3" s="3">
        <f>G3*H3</f>
        <v/>
      </c>
      <c r="J3" s="9">
        <f>I3*Premissas!$B$3</f>
        <v/>
      </c>
      <c r="K3" s="10" t="n">
        <v>0</v>
      </c>
      <c r="L3" s="2" t="inlineStr">
        <is>
          <t>Alternativa internacional; use se decidir operar com .com em vez de .com.br.</t>
        </is>
      </c>
      <c r="M3" s="2" t="inlineStr">
        <is>
          <t>https://porkbun.com/products/domains</t>
        </is>
      </c>
    </row>
    <row r="4">
      <c r="A4" s="5" t="inlineStr">
        <is>
          <t>Hospedagem</t>
        </is>
      </c>
      <c r="B4" s="5" t="inlineStr">
        <is>
          <t>Frontend / app Next.js - Pro</t>
        </is>
      </c>
      <c r="C4" s="5" t="inlineStr">
        <is>
          <t>Vercel</t>
        </is>
      </c>
      <c r="D4" s="5" t="inlineStr">
        <is>
          <t>Obrigatorio</t>
        </is>
      </c>
      <c r="E4" s="5" t="inlineStr">
        <is>
          <t>Fixo</t>
        </is>
      </c>
      <c r="F4" s="5" t="inlineStr">
        <is>
          <t>USD</t>
        </is>
      </c>
      <c r="G4" s="6" t="n">
        <v>20</v>
      </c>
      <c r="H4" s="5" t="n">
        <v>1</v>
      </c>
      <c r="I4" s="6">
        <f>G4*H4</f>
        <v/>
      </c>
      <c r="J4" s="7">
        <f>I4*Premissas!$B$3</f>
        <v/>
      </c>
      <c r="K4" s="8" t="n">
        <v>1</v>
      </c>
      <c r="L4" s="5" t="inlineStr">
        <is>
          <t>Plano Pro para ambiente de producao. Hobby existe, mas este orcamento usa baseline profissional.</t>
        </is>
      </c>
      <c r="M4" s="5" t="inlineStr">
        <is>
          <t>https://vercel.com/pricing</t>
        </is>
      </c>
    </row>
    <row r="5">
      <c r="A5" s="2" t="inlineStr">
        <is>
          <t>Hospedagem</t>
        </is>
      </c>
      <c r="B5" s="2" t="inlineStr">
        <is>
          <t>Transferencia extra</t>
        </is>
      </c>
      <c r="C5" s="2" t="inlineStr">
        <is>
          <t>Vercel</t>
        </is>
      </c>
      <c r="D5" s="2" t="inlineStr">
        <is>
          <t>Sob demanda</t>
        </is>
      </c>
      <c r="E5" s="2" t="inlineStr">
        <is>
          <t>Overage</t>
        </is>
      </c>
      <c r="F5" s="2" t="inlineStr">
        <is>
          <t>USD</t>
        </is>
      </c>
      <c r="G5" s="3" t="n">
        <v>0.15</v>
      </c>
      <c r="H5" s="2">
        <f>Premissas!$B$21</f>
        <v/>
      </c>
      <c r="I5" s="3">
        <f>G5*H5</f>
        <v/>
      </c>
      <c r="J5" s="9">
        <f>I5*Premissas!$B$3</f>
        <v/>
      </c>
      <c r="K5" s="10" t="n">
        <v>1</v>
      </c>
      <c r="L5" s="2" t="inlineStr">
        <is>
          <t>So cobra se passar do incluido no plano.</t>
        </is>
      </c>
      <c r="M5" s="2" t="inlineStr">
        <is>
          <t>https://vercel.com/pricing</t>
        </is>
      </c>
    </row>
    <row r="6">
      <c r="A6" s="2" t="inlineStr">
        <is>
          <t>Hospedagem</t>
        </is>
      </c>
      <c r="B6" s="2" t="inlineStr">
        <is>
          <t>Edge requests extras</t>
        </is>
      </c>
      <c r="C6" s="2" t="inlineStr">
        <is>
          <t>Vercel</t>
        </is>
      </c>
      <c r="D6" s="2" t="inlineStr">
        <is>
          <t>Sob demanda</t>
        </is>
      </c>
      <c r="E6" s="2" t="inlineStr">
        <is>
          <t>Overage</t>
        </is>
      </c>
      <c r="F6" s="2" t="inlineStr">
        <is>
          <t>USD</t>
        </is>
      </c>
      <c r="G6" s="3" t="n">
        <v>2</v>
      </c>
      <c r="H6" s="2">
        <f>Premissas!$B$22</f>
        <v/>
      </c>
      <c r="I6" s="3">
        <f>G6*H6</f>
        <v/>
      </c>
      <c r="J6" s="9">
        <f>I6*Premissas!$B$3</f>
        <v/>
      </c>
      <c r="K6" s="10" t="n">
        <v>1</v>
      </c>
      <c r="L6" s="2" t="inlineStr">
        <is>
          <t>Preco por 1M de requests acima do incluido no Pro.</t>
        </is>
      </c>
      <c r="M6" s="2" t="inlineStr">
        <is>
          <t>https://vercel.com/pricing</t>
        </is>
      </c>
    </row>
    <row r="7">
      <c r="A7" s="5" t="inlineStr">
        <is>
          <t>Banco de dados</t>
        </is>
      </c>
      <c r="B7" s="5" t="inlineStr">
        <is>
          <t>Postgres gerenciado - Launch</t>
        </is>
      </c>
      <c r="C7" s="5" t="inlineStr">
        <is>
          <t>Neon</t>
        </is>
      </c>
      <c r="D7" s="5" t="inlineStr">
        <is>
          <t>Obrigatorio</t>
        </is>
      </c>
      <c r="E7" s="5" t="inlineStr">
        <is>
          <t>Fixo estimado</t>
        </is>
      </c>
      <c r="F7" s="5" t="inlineStr">
        <is>
          <t>USD</t>
        </is>
      </c>
      <c r="G7" s="6" t="n">
        <v>15</v>
      </c>
      <c r="H7" s="5" t="n">
        <v>1</v>
      </c>
      <c r="I7" s="6">
        <f>G7*H7</f>
        <v/>
      </c>
      <c r="J7" s="7">
        <f>I7*Premissas!$B$3</f>
        <v/>
      </c>
      <c r="K7" s="8" t="n">
        <v>1</v>
      </c>
      <c r="L7" s="5" t="inlineStr">
        <is>
          <t>Usa o typical spend oficial do plano Launch como baseline do projeto.</t>
        </is>
      </c>
      <c r="M7" s="5" t="inlineStr">
        <is>
          <t>https://neon.com/pricing</t>
        </is>
      </c>
    </row>
    <row r="8">
      <c r="A8" s="2" t="inlineStr">
        <is>
          <t>Storage de assets</t>
        </is>
      </c>
      <c r="B8" s="2" t="inlineStr">
        <is>
          <t>Storage acima do free tier</t>
        </is>
      </c>
      <c r="C8" s="2" t="inlineStr">
        <is>
          <t>Cloudflare R2</t>
        </is>
      </c>
      <c r="D8" s="2" t="inlineStr">
        <is>
          <t>Sob demanda</t>
        </is>
      </c>
      <c r="E8" s="2" t="inlineStr">
        <is>
          <t>Variavel</t>
        </is>
      </c>
      <c r="F8" s="2" t="inlineStr">
        <is>
          <t>USD</t>
        </is>
      </c>
      <c r="G8" s="3" t="n">
        <v>0.015</v>
      </c>
      <c r="H8" s="2">
        <f>MAX(0,Premissas!$B$14-10)</f>
        <v/>
      </c>
      <c r="I8" s="3">
        <f>G8*H8</f>
        <v/>
      </c>
      <c r="J8" s="9">
        <f>I8*Premissas!$B$3</f>
        <v/>
      </c>
      <c r="K8" s="10" t="n">
        <v>1</v>
      </c>
      <c r="L8" s="2" t="inlineStr">
        <is>
          <t>O free tier inclui 10 GB-mes; este item cobra apenas excedente.</t>
        </is>
      </c>
      <c r="M8" s="2" t="inlineStr">
        <is>
          <t>https://developers.cloudflare.com/r2/pricing/</t>
        </is>
      </c>
    </row>
    <row r="9">
      <c r="A9" s="2" t="inlineStr">
        <is>
          <t>Storage de assets</t>
        </is>
      </c>
      <c r="B9" s="2" t="inlineStr">
        <is>
          <t>Operacoes Class A acima do free tier</t>
        </is>
      </c>
      <c r="C9" s="2" t="inlineStr">
        <is>
          <t>Cloudflare R2</t>
        </is>
      </c>
      <c r="D9" s="2" t="inlineStr">
        <is>
          <t>Sob demanda</t>
        </is>
      </c>
      <c r="E9" s="2" t="inlineStr">
        <is>
          <t>Variavel</t>
        </is>
      </c>
      <c r="F9" s="2" t="inlineStr">
        <is>
          <t>USD</t>
        </is>
      </c>
      <c r="G9" s="3" t="n">
        <v>4.5</v>
      </c>
      <c r="H9" s="2">
        <f>MAX(0,Premissas!$B$15-1)</f>
        <v/>
      </c>
      <c r="I9" s="3">
        <f>G9*H9</f>
        <v/>
      </c>
      <c r="J9" s="9">
        <f>I9*Premissas!$B$3</f>
        <v/>
      </c>
      <c r="K9" s="10" t="n">
        <v>1</v>
      </c>
      <c r="L9" s="2" t="inlineStr">
        <is>
          <t>Preco por milhao de operacoes acima de 1M/mensal.</t>
        </is>
      </c>
      <c r="M9" s="2" t="inlineStr">
        <is>
          <t>https://developers.cloudflare.com/r2/pricing/</t>
        </is>
      </c>
    </row>
    <row r="10">
      <c r="A10" s="2" t="inlineStr">
        <is>
          <t>Storage de assets</t>
        </is>
      </c>
      <c r="B10" s="2" t="inlineStr">
        <is>
          <t>Operacoes Class B acima do free tier</t>
        </is>
      </c>
      <c r="C10" s="2" t="inlineStr">
        <is>
          <t>Cloudflare R2</t>
        </is>
      </c>
      <c r="D10" s="2" t="inlineStr">
        <is>
          <t>Sob demanda</t>
        </is>
      </c>
      <c r="E10" s="2" t="inlineStr">
        <is>
          <t>Variavel</t>
        </is>
      </c>
      <c r="F10" s="2" t="inlineStr">
        <is>
          <t>USD</t>
        </is>
      </c>
      <c r="G10" s="3" t="n">
        <v>0.36</v>
      </c>
      <c r="H10" s="2">
        <f>MAX(0,Premissas!$B$16-10)</f>
        <v/>
      </c>
      <c r="I10" s="3">
        <f>G10*H10</f>
        <v/>
      </c>
      <c r="J10" s="9">
        <f>I10*Premissas!$B$3</f>
        <v/>
      </c>
      <c r="K10" s="10" t="n">
        <v>1</v>
      </c>
      <c r="L10" s="2" t="inlineStr">
        <is>
          <t>Preco por milhao de operacoes acima de 10M/mensal.</t>
        </is>
      </c>
      <c r="M10" s="2" t="inlineStr">
        <is>
          <t>https://developers.cloudflare.com/r2/pricing/</t>
        </is>
      </c>
    </row>
    <row r="11">
      <c r="A11" s="2" t="inlineStr">
        <is>
          <t>Email transacional</t>
        </is>
      </c>
      <c r="B11" s="2" t="inlineStr">
        <is>
          <t>Plano Pro</t>
        </is>
      </c>
      <c r="C11" s="2" t="inlineStr">
        <is>
          <t>Resend</t>
        </is>
      </c>
      <c r="D11" s="2" t="inlineStr">
        <is>
          <t>Opcional</t>
        </is>
      </c>
      <c r="E11" s="2" t="inlineStr">
        <is>
          <t>Fixo</t>
        </is>
      </c>
      <c r="F11" s="2" t="inlineStr">
        <is>
          <t>USD</t>
        </is>
      </c>
      <c r="G11" s="3" t="n">
        <v>20</v>
      </c>
      <c r="H11" s="2">
        <f>Premissas!$B$20</f>
        <v/>
      </c>
      <c r="I11" s="3">
        <f>G11*H11</f>
        <v/>
      </c>
      <c r="J11" s="9">
        <f>I11*Premissas!$B$3</f>
        <v/>
      </c>
      <c r="K11" s="10" t="n">
        <v>1</v>
      </c>
      <c r="L11" s="2" t="inlineStr">
        <is>
          <t>Se B19=0, voce fica no Free ate 3.000 emails/mes; se B19=1, usa Pro com 50.000 emails/mes.</t>
        </is>
      </c>
      <c r="M11" s="2" t="inlineStr">
        <is>
          <t>https://resend.com/pricing</t>
        </is>
      </c>
    </row>
    <row r="12">
      <c r="A12" s="11" t="inlineStr">
        <is>
          <t>Email corporativo</t>
        </is>
      </c>
      <c r="B12" s="11" t="inlineStr">
        <is>
          <t>Business Starter</t>
        </is>
      </c>
      <c r="C12" s="11" t="inlineStr">
        <is>
          <t>Google Workspace</t>
        </is>
      </c>
      <c r="D12" s="11" t="inlineStr">
        <is>
          <t>Recomendado</t>
        </is>
      </c>
      <c r="E12" s="11" t="inlineStr">
        <is>
          <t>Fixo</t>
        </is>
      </c>
      <c r="F12" s="11" t="inlineStr">
        <is>
          <t>USD</t>
        </is>
      </c>
      <c r="G12" s="12" t="n">
        <v>7</v>
      </c>
      <c r="H12" s="11">
        <f>Premissas!$B$18</f>
        <v/>
      </c>
      <c r="I12" s="12">
        <f>G12*H12</f>
        <v/>
      </c>
      <c r="J12" s="13">
        <f>I12*Premissas!$B$3</f>
        <v/>
      </c>
      <c r="K12" s="14" t="n">
        <v>1</v>
      </c>
      <c r="L12" s="11" t="inlineStr">
        <is>
          <t>Usado para caixa profissional com dominio proprio.</t>
        </is>
      </c>
      <c r="M12" s="11" t="inlineStr">
        <is>
          <t>https://workspace.google.com/pricing</t>
        </is>
      </c>
    </row>
    <row r="13">
      <c r="A13" s="2" t="inlineStr">
        <is>
          <t>Monitoramento</t>
        </is>
      </c>
      <c r="B13" s="2" t="inlineStr">
        <is>
          <t>Plano Solo</t>
        </is>
      </c>
      <c r="C13" s="2" t="inlineStr">
        <is>
          <t>UptimeRobot</t>
        </is>
      </c>
      <c r="D13" s="2" t="inlineStr">
        <is>
          <t>Opcional</t>
        </is>
      </c>
      <c r="E13" s="2" t="inlineStr">
        <is>
          <t>Fixo</t>
        </is>
      </c>
      <c r="F13" s="2" t="inlineStr">
        <is>
          <t>USD</t>
        </is>
      </c>
      <c r="G13" s="3" t="n">
        <v>7</v>
      </c>
      <c r="H13" s="2">
        <f>Premissas!$B$19</f>
        <v/>
      </c>
      <c r="I13" s="3">
        <f>G13*H13</f>
        <v/>
      </c>
      <c r="J13" s="9">
        <f>I13*Premissas!$B$3</f>
        <v/>
      </c>
      <c r="K13" s="10" t="n">
        <v>1</v>
      </c>
      <c r="L13" s="2" t="inlineStr">
        <is>
          <t>Monitoramento de disponibilidade e expirar de SSL/dominio.</t>
        </is>
      </c>
      <c r="M13" s="2" t="inlineStr">
        <is>
          <t>https://uptimerobot.com/pricing/</t>
        </is>
      </c>
    </row>
    <row r="14">
      <c r="A14" s="5" t="inlineStr">
        <is>
          <t>Pagamentos</t>
        </is>
      </c>
      <c r="B14" s="5" t="inlineStr">
        <is>
          <t>Taxa Pix</t>
        </is>
      </c>
      <c r="C14" s="5" t="inlineStr">
        <is>
          <t>Mercado Pago</t>
        </is>
      </c>
      <c r="D14" s="5" t="inlineStr">
        <is>
          <t>Obrigatorio</t>
        </is>
      </c>
      <c r="E14" s="5" t="inlineStr">
        <is>
          <t>Variavel</t>
        </is>
      </c>
      <c r="F14" s="5" t="inlineStr">
        <is>
          <t>BRL</t>
        </is>
      </c>
      <c r="G14" s="15">
        <f>Premissas!$B$12</f>
        <v/>
      </c>
      <c r="H14" s="5">
        <f>Premissas!$B$6*Premissas!$B$7</f>
        <v/>
      </c>
      <c r="I14" s="6">
        <f>G14*H14</f>
        <v/>
      </c>
      <c r="J14" s="7">
        <f>I14</f>
        <v/>
      </c>
      <c r="K14" s="8" t="n">
        <v>1</v>
      </c>
      <c r="L14" s="5" t="inlineStr">
        <is>
          <t>Baseado no mix de Pix e na taxa online oficial.</t>
        </is>
      </c>
      <c r="M14" s="5" t="inlineStr">
        <is>
          <t>https://www.mercadopago.com.br/blog/quanto-custa-vender-on-line-com-mercado-pago</t>
        </is>
      </c>
    </row>
    <row r="15">
      <c r="A15" s="5" t="inlineStr">
        <is>
          <t>Pagamentos</t>
        </is>
      </c>
      <c r="B15" s="5" t="inlineStr">
        <is>
          <t>Taxa cartao (recebendo em 30 dias)</t>
        </is>
      </c>
      <c r="C15" s="5" t="inlineStr">
        <is>
          <t>Mercado Pago</t>
        </is>
      </c>
      <c r="D15" s="5" t="inlineStr">
        <is>
          <t>Obrigatorio</t>
        </is>
      </c>
      <c r="E15" s="5" t="inlineStr">
        <is>
          <t>Variavel</t>
        </is>
      </c>
      <c r="F15" s="5" t="inlineStr">
        <is>
          <t>BRL</t>
        </is>
      </c>
      <c r="G15" s="15">
        <f>Premissas!$B$10</f>
        <v/>
      </c>
      <c r="H15" s="5">
        <f>Premissas!$B$6*Premissas!$B$8</f>
        <v/>
      </c>
      <c r="I15" s="6">
        <f>G15*H15</f>
        <v/>
      </c>
      <c r="J15" s="7">
        <f>I15</f>
        <v/>
      </c>
      <c r="K15" s="8" t="n">
        <v>1</v>
      </c>
      <c r="L15" s="5" t="inlineStr">
        <is>
          <t>Use esta linha como baseline. Se quiser comparar recebimento imediato, veja a linha abaixo.</t>
        </is>
      </c>
      <c r="M15" s="5" t="inlineStr">
        <is>
          <t>https://www.mercadopago.com.br/blog/quanto-custa-vender-on-line-com-mercado-pago</t>
        </is>
      </c>
    </row>
    <row r="16">
      <c r="A16" s="2" t="inlineStr">
        <is>
          <t>Pagamentos</t>
        </is>
      </c>
      <c r="B16" s="2" t="inlineStr">
        <is>
          <t>Delta se trocar cartao para recebimento na hora</t>
        </is>
      </c>
      <c r="C16" s="2" t="inlineStr">
        <is>
          <t>Mercado Pago</t>
        </is>
      </c>
      <c r="D16" s="2" t="inlineStr">
        <is>
          <t>Cenario</t>
        </is>
      </c>
      <c r="E16" s="2" t="inlineStr">
        <is>
          <t>Variavel</t>
        </is>
      </c>
      <c r="F16" s="2" t="inlineStr">
        <is>
          <t>BRL</t>
        </is>
      </c>
      <c r="G16" s="4">
        <f>(Premissas!$B$11-Premissas!$B$10)</f>
        <v/>
      </c>
      <c r="H16" s="2">
        <f>Premissas!$B$6*Premissas!$B$8</f>
        <v/>
      </c>
      <c r="I16" s="3">
        <f>G16*H16</f>
        <v/>
      </c>
      <c r="J16" s="9">
        <f>I16</f>
        <v/>
      </c>
      <c r="K16" s="10" t="n">
        <v>0</v>
      </c>
      <c r="L16" s="2" t="inlineStr">
        <is>
          <t>Mantido fora do total para servir de comparacao de fluxo de caixa.</t>
        </is>
      </c>
      <c r="M16" s="2" t="inlineStr">
        <is>
          <t>https://www.mercadopago.com.br/blog/quanto-custa-vender-on-line-com-mercado-pago</t>
        </is>
      </c>
    </row>
    <row r="17">
      <c r="A17" s="5" t="inlineStr">
        <is>
          <t>Pagamentos</t>
        </is>
      </c>
      <c r="B17" s="5" t="inlineStr">
        <is>
          <t>Taxa boleto</t>
        </is>
      </c>
      <c r="C17" s="5" t="inlineStr">
        <is>
          <t>Mercado Pago</t>
        </is>
      </c>
      <c r="D17" s="5" t="inlineStr">
        <is>
          <t>Obrigatorio</t>
        </is>
      </c>
      <c r="E17" s="5" t="inlineStr">
        <is>
          <t>Variavel</t>
        </is>
      </c>
      <c r="F17" s="5" t="inlineStr">
        <is>
          <t>BRL</t>
        </is>
      </c>
      <c r="G17" s="6">
        <f>Premissas!$B$13</f>
        <v/>
      </c>
      <c r="H17" s="5">
        <f>Premissas!$B$4*Premissas!$B$9</f>
        <v/>
      </c>
      <c r="I17" s="6">
        <f>G17*H17</f>
        <v/>
      </c>
      <c r="J17" s="7">
        <f>I17</f>
        <v/>
      </c>
      <c r="K17" s="8" t="n">
        <v>1</v>
      </c>
      <c r="L17" s="5" t="inlineStr">
        <is>
          <t>Custo por boleto emitido no mix informado.</t>
        </is>
      </c>
      <c r="M17" s="5" t="inlineStr">
        <is>
          <t>https://www.mercadopago.com.br/blog/quanto-custa-vender-on-line-com-mercado-pago</t>
        </is>
      </c>
    </row>
    <row r="18">
      <c r="A18" s="2" t="inlineStr">
        <is>
          <t>Tributo financeiro</t>
        </is>
      </c>
      <c r="B18" s="2" t="inlineStr">
        <is>
          <t>IOF sobre SaaS em USD</t>
        </is>
      </c>
      <c r="C18" s="2" t="inlineStr">
        <is>
          <t>Cartao / emissor</t>
        </is>
      </c>
      <c r="D18" s="2" t="inlineStr">
        <is>
          <t>Sob demanda</t>
        </is>
      </c>
      <c r="E18" s="2" t="inlineStr">
        <is>
          <t>Variavel</t>
        </is>
      </c>
      <c r="F18" s="2" t="inlineStr">
        <is>
          <t>BRL</t>
        </is>
      </c>
      <c r="G18" s="3">
        <f>Premissas!$B$23*SUMPRODUCT(($F$2:$F$13="USD")*($K$2:$K$13=1)*($I$2:$I$13))*Premissas!$B$3</f>
        <v/>
      </c>
      <c r="H18" s="2" t="n">
        <v>1</v>
      </c>
      <c r="I18" s="3">
        <f>G18*H18</f>
        <v/>
      </c>
      <c r="J18" s="9">
        <f>I18</f>
        <v/>
      </c>
      <c r="K18" s="10" t="n">
        <v>1</v>
      </c>
      <c r="L18" s="2" t="inlineStr">
        <is>
          <t>Estimativa do imposto em cobrancas internacionais pagas com cartao brasileiro.</t>
        </is>
      </c>
      <c r="M18" s="2" t="inlineStr">
        <is>
          <t>https://www.gov.br/fazenda/pt-br/central-de-conteudo/publicacoes/apresentacoes/2025/Maio/iof-maio-2025.pdf/%40%40download/file</t>
        </is>
      </c>
    </row>
    <row r="19">
      <c r="A19" s="16" t="inlineStr">
        <is>
          <t>Infra incluida</t>
        </is>
      </c>
      <c r="B19" s="16" t="inlineStr">
        <is>
          <t>SSL/TLS</t>
        </is>
      </c>
      <c r="C19" s="16" t="inlineStr">
        <is>
          <t>Vercel / Let's Encrypt</t>
        </is>
      </c>
      <c r="D19" s="16" t="inlineStr">
        <is>
          <t>Incluido</t>
        </is>
      </c>
      <c r="E19" s="16" t="inlineStr">
        <is>
          <t>Zero</t>
        </is>
      </c>
      <c r="F19" s="16" t="inlineStr">
        <is>
          <t>USD</t>
        </is>
      </c>
      <c r="G19" s="17" t="n">
        <v>0</v>
      </c>
      <c r="H19" s="16" t="n">
        <v>1</v>
      </c>
      <c r="I19" s="17">
        <f>0</f>
        <v/>
      </c>
      <c r="J19" s="18">
        <f>0</f>
        <v/>
      </c>
      <c r="K19" s="19" t="n">
        <v>0</v>
      </c>
      <c r="L19" s="16" t="inlineStr">
        <is>
          <t>Nao orcado separadamente; tratado como custo zero no stack sugerido.</t>
        </is>
      </c>
      <c r="M19" s="16" t="inlineStr">
        <is>
          <t>https://vercel.com/pricing</t>
        </is>
      </c>
    </row>
    <row r="20">
      <c r="A20" s="16" t="inlineStr">
        <is>
          <t>Infra incluida</t>
        </is>
      </c>
      <c r="B20" s="16" t="inlineStr">
        <is>
          <t>CDN global</t>
        </is>
      </c>
      <c r="C20" s="16" t="inlineStr">
        <is>
          <t>Vercel</t>
        </is>
      </c>
      <c r="D20" s="16" t="inlineStr">
        <is>
          <t>Incluido</t>
        </is>
      </c>
      <c r="E20" s="16" t="inlineStr">
        <is>
          <t>Zero</t>
        </is>
      </c>
      <c r="F20" s="16" t="inlineStr">
        <is>
          <t>USD</t>
        </is>
      </c>
      <c r="G20" s="17" t="n">
        <v>0</v>
      </c>
      <c r="H20" s="16" t="n">
        <v>1</v>
      </c>
      <c r="I20" s="17">
        <f>0</f>
        <v/>
      </c>
      <c r="J20" s="18">
        <f>0</f>
        <v/>
      </c>
      <c r="K20" s="19" t="n">
        <v>0</v>
      </c>
      <c r="L20" s="16" t="inlineStr">
        <is>
          <t>Incluso no plano; overage aparece nas linhas de transferencia e edge requests.</t>
        </is>
      </c>
      <c r="M20" s="16" t="inlineStr">
        <is>
          <t>https://vercel.com/pricing</t>
        </is>
      </c>
    </row>
    <row r="21">
      <c r="A21" s="16" t="inlineStr">
        <is>
          <t>Infra incluida</t>
        </is>
      </c>
      <c r="B21" s="16" t="inlineStr">
        <is>
          <t>Backups base / time-travel</t>
        </is>
      </c>
      <c r="C21" s="16" t="inlineStr">
        <is>
          <t>Neon</t>
        </is>
      </c>
      <c r="D21" s="16" t="inlineStr">
        <is>
          <t>Incluido</t>
        </is>
      </c>
      <c r="E21" s="16" t="inlineStr">
        <is>
          <t>Zero</t>
        </is>
      </c>
      <c r="F21" s="16" t="inlineStr">
        <is>
          <t>USD</t>
        </is>
      </c>
      <c r="G21" s="17" t="n">
        <v>0</v>
      </c>
      <c r="H21" s="16" t="n">
        <v>1</v>
      </c>
      <c r="I21" s="17">
        <f>0</f>
        <v/>
      </c>
      <c r="J21" s="18">
        <f>0</f>
        <v/>
      </c>
      <c r="K21" s="19" t="n">
        <v>0</v>
      </c>
      <c r="L21" s="16" t="inlineStr">
        <is>
          <t>Ja contemplado no baseline do Neon Launch.</t>
        </is>
      </c>
      <c r="M21" s="16" t="inlineStr">
        <is>
          <t>https://neon.com/pricing</t>
        </is>
      </c>
    </row>
    <row r="22">
      <c r="A22" s="16" t="inlineStr">
        <is>
          <t>Gateway</t>
        </is>
      </c>
      <c r="B22" s="16" t="inlineStr">
        <is>
          <t>Mensalidade do meio de pagamento</t>
        </is>
      </c>
      <c r="C22" s="16" t="inlineStr">
        <is>
          <t>Mercado Pago</t>
        </is>
      </c>
      <c r="D22" s="16" t="inlineStr">
        <is>
          <t>Incluido</t>
        </is>
      </c>
      <c r="E22" s="16" t="inlineStr">
        <is>
          <t>Zero</t>
        </is>
      </c>
      <c r="F22" s="16" t="inlineStr">
        <is>
          <t>BRL</t>
        </is>
      </c>
      <c r="G22" s="17" t="n">
        <v>0</v>
      </c>
      <c r="H22" s="16" t="n">
        <v>1</v>
      </c>
      <c r="I22" s="17">
        <f>0</f>
        <v/>
      </c>
      <c r="J22" s="18">
        <f>0</f>
        <v/>
      </c>
      <c r="K22" s="19" t="n">
        <v>0</v>
      </c>
      <c r="L22" s="16" t="inlineStr">
        <is>
          <t>O gateway online modelado aqui nao entra com mensalidade fixa; o custo vem das taxas por venda.</t>
        </is>
      </c>
      <c r="M22" s="16" t="inlineStr">
        <is>
          <t>https://www.mercadopago.com.br/developers/pt/support/37740</t>
        </is>
      </c>
    </row>
  </sheetData>
  <autoFilter ref="A1:M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54" customWidth="1" min="2" max="2"/>
    <col width="54" customWidth="1" min="3" max="3"/>
  </cols>
  <sheetData>
    <row r="1">
      <c r="A1" s="1" t="inlineStr">
        <is>
          <t>Resumo</t>
        </is>
      </c>
      <c r="B1" s="1" t="inlineStr">
        <is>
          <t>Formula / valor</t>
        </is>
      </c>
      <c r="C1" s="1" t="inlineStr">
        <is>
          <t>Observacao</t>
        </is>
      </c>
    </row>
    <row r="2">
      <c r="A2" s="2" t="inlineStr">
        <is>
          <t>Custos fixos obrigatorios</t>
        </is>
      </c>
      <c r="B2" s="9">
        <f>SUMPRODUCT((Custos!$E$2:$E$22&lt;&gt;"Variavel")*(Custos!$E$2:$E$22&lt;&gt;"Overage")*(Custos!$D$2:$D$22="Obrigatorio")*(Custos!$K$2:$K$22=1)*Custos!$J$2:$J$22)</f>
        <v/>
      </c>
      <c r="C2" s="2" t="inlineStr">
        <is>
          <t>Sem custos opcionais e sem taxas por venda.</t>
        </is>
      </c>
    </row>
    <row r="3">
      <c r="A3" s="2" t="inlineStr">
        <is>
          <t>Custos fixos adicionais recomendados/opcionais ligados</t>
        </is>
      </c>
      <c r="B3" s="9">
        <f>SUMPRODUCT((Custos!$E$2:$E$22&lt;&gt;"Variavel")*(Custos!$E$2:$E$22&lt;&gt;"Overage")*((Custos!$D$2:$D$22="Recomendado")+(Custos!$D$2:$D$22="Opcional"))*(Custos!$K$2:$K$22=1)*Custos!$J$2:$J$22)</f>
        <v/>
      </c>
      <c r="C3" s="2" t="inlineStr">
        <is>
          <t>Mostra apenas o adicional acima do minimo obrigatorio.</t>
        </is>
      </c>
    </row>
    <row r="4">
      <c r="A4" s="2" t="inlineStr">
        <is>
          <t>Custos variaveis do cenario atual</t>
        </is>
      </c>
      <c r="B4" s="9">
        <f>SUMPRODUCT((Custos!$E$2:$E$22="Variavel")*(Custos!$K$2:$K$22=1)*Custos!$J$2:$J$22)</f>
        <v/>
      </c>
      <c r="C4" s="2" t="inlineStr">
        <is>
          <t>Inclui taxas de pagamento, storage variavel e IOF do cenario atual.</t>
        </is>
      </c>
    </row>
    <row r="5">
      <c r="A5" s="2" t="inlineStr">
        <is>
          <t>Overages tecnicos no cenario atual</t>
        </is>
      </c>
      <c r="B5" s="9">
        <f>SUMPRODUCT((Custos!$E$2:$E$22="Overage")*(Custos!$K$2:$K$22=1)*Custos!$J$2:$J$22)</f>
        <v/>
      </c>
      <c r="C5" s="2" t="inlineStr">
        <is>
          <t>Normalmente zero se o uso ficar no baseline.</t>
        </is>
      </c>
    </row>
    <row r="6">
      <c r="A6" s="2" t="inlineStr">
        <is>
          <t>Total mensal operacional</t>
        </is>
      </c>
      <c r="B6" s="9">
        <f>B2+B3+B4+B5</f>
        <v/>
      </c>
      <c r="C6" s="2" t="inlineStr">
        <is>
          <t>Soma do que entra no orcamento mensal do site.</t>
        </is>
      </c>
    </row>
    <row r="7">
      <c r="A7" s="2" t="inlineStr">
        <is>
          <t>Delta se cartao receber na hora</t>
        </is>
      </c>
      <c r="B7" s="9">
        <f>Custos!J16</f>
        <v/>
      </c>
      <c r="C7" s="2" t="inlineStr">
        <is>
          <t>Custo extra mensal se trocar o cartao de 30 dias para recebimento imediato.</t>
        </is>
      </c>
    </row>
    <row r="8">
      <c r="A8" s="2" t="inlineStr">
        <is>
          <t>Total mensal com cartao na hora</t>
        </is>
      </c>
      <c r="B8" s="2">
        <f>B6+B7</f>
        <v/>
      </c>
      <c r="C8" s="2" t="inlineStr">
        <is>
          <t>Cenario alternativo de caixa.</t>
        </is>
      </c>
    </row>
    <row r="9">
      <c r="A9" s="2" t="inlineStr">
        <is>
          <t>Observacao de escopo</t>
        </is>
      </c>
      <c r="B9" s="2" t="inlineStr">
        <is>
          <t>Fora do escopo</t>
        </is>
      </c>
      <c r="C9" s="2" t="inlineStr">
        <is>
          <t>Nao inclui custo do produto, frete do dropshipping, impostos da empresa, devolucoes, chargeback, dev e design.</t>
        </is>
      </c>
    </row>
  </sheetData>
  <autoFilter ref="A1:C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54" customWidth="1" min="2" max="2"/>
    <col width="51" customWidth="1" min="3" max="3"/>
    <col width="16" customWidth="1" min="4" max="4"/>
  </cols>
  <sheetData>
    <row r="1">
      <c r="A1" s="1" t="inlineStr">
        <is>
          <t>Fonte</t>
        </is>
      </c>
      <c r="B1" s="1" t="inlineStr">
        <is>
          <t>URL</t>
        </is>
      </c>
      <c r="C1" s="1" t="inlineStr">
        <is>
          <t>Uso</t>
        </is>
      </c>
      <c r="D1" s="1" t="inlineStr">
        <is>
          <t>Data de acesso</t>
        </is>
      </c>
    </row>
    <row r="2">
      <c r="A2" s="2" t="inlineStr">
        <is>
          <t>Registro.br</t>
        </is>
      </c>
      <c r="B2" s="2" t="inlineStr">
        <is>
          <t>https://registro.br/</t>
        </is>
      </c>
      <c r="C2" s="2" t="inlineStr">
        <is>
          <t>Meta description com preco de dominio .br</t>
        </is>
      </c>
      <c r="D2" s="2" t="inlineStr">
        <is>
          <t>2026-04-28</t>
        </is>
      </c>
    </row>
    <row r="3">
      <c r="A3" s="2" t="inlineStr">
        <is>
          <t>Porkbun</t>
        </is>
      </c>
      <c r="B3" s="2" t="inlineStr">
        <is>
          <t>https://porkbun.com/products/domains</t>
        </is>
      </c>
      <c r="C3" s="2" t="inlineStr">
        <is>
          <t>Preco de entrada para .com</t>
        </is>
      </c>
      <c r="D3" s="2" t="inlineStr">
        <is>
          <t>2026-04-28</t>
        </is>
      </c>
    </row>
    <row r="4">
      <c r="A4" s="2" t="inlineStr">
        <is>
          <t>Vercel Pricing</t>
        </is>
      </c>
      <c r="B4" s="2" t="inlineStr">
        <is>
          <t>https://vercel.com/pricing</t>
        </is>
      </c>
      <c r="C4" s="2" t="inlineStr">
        <is>
          <t>Plano Pro e overages</t>
        </is>
      </c>
      <c r="D4" s="2" t="inlineStr">
        <is>
          <t>2026-04-28</t>
        </is>
      </c>
    </row>
    <row r="5">
      <c r="A5" s="2" t="inlineStr">
        <is>
          <t>Neon Pricing</t>
        </is>
      </c>
      <c r="B5" s="2" t="inlineStr">
        <is>
          <t>https://neon.com/pricing</t>
        </is>
      </c>
      <c r="C5" s="2" t="inlineStr">
        <is>
          <t>Typical spend e preco Launch</t>
        </is>
      </c>
      <c r="D5" s="2" t="inlineStr">
        <is>
          <t>2026-04-28</t>
        </is>
      </c>
    </row>
    <row r="6">
      <c r="A6" s="2" t="inlineStr">
        <is>
          <t>Cloudflare R2 Pricing</t>
        </is>
      </c>
      <c r="B6" s="2" t="inlineStr">
        <is>
          <t>https://developers.cloudflare.com/r2/pricing/</t>
        </is>
      </c>
      <c r="C6" s="2" t="inlineStr">
        <is>
          <t>Storage, operacoes e free tier</t>
        </is>
      </c>
      <c r="D6" s="2" t="inlineStr">
        <is>
          <t>2026-04-28</t>
        </is>
      </c>
    </row>
    <row r="7">
      <c r="A7" s="2" t="inlineStr">
        <is>
          <t>Resend Pricing</t>
        </is>
      </c>
      <c r="B7" s="2" t="inlineStr">
        <is>
          <t>https://resend.com/pricing</t>
        </is>
      </c>
      <c r="C7" s="2" t="inlineStr">
        <is>
          <t>Free e Pro para email transacional</t>
        </is>
      </c>
      <c r="D7" s="2" t="inlineStr">
        <is>
          <t>2026-04-28</t>
        </is>
      </c>
    </row>
    <row r="8">
      <c r="A8" s="2" t="inlineStr">
        <is>
          <t>Google Workspace Pricing</t>
        </is>
      </c>
      <c r="B8" s="2" t="inlineStr">
        <is>
          <t>https://workspace.google.com/pricing</t>
        </is>
      </c>
      <c r="C8" s="2" t="inlineStr">
        <is>
          <t>Business Starter por usuario</t>
        </is>
      </c>
      <c r="D8" s="2" t="inlineStr">
        <is>
          <t>2026-04-28</t>
        </is>
      </c>
    </row>
    <row r="9">
      <c r="A9" s="2" t="inlineStr">
        <is>
          <t>UptimeRobot Pricing</t>
        </is>
      </c>
      <c r="B9" s="2" t="inlineStr">
        <is>
          <t>https://uptimerobot.com/pricing/</t>
        </is>
      </c>
      <c r="C9" s="2" t="inlineStr">
        <is>
          <t>Plano Solo de monitoramento</t>
        </is>
      </c>
      <c r="D9" s="2" t="inlineStr">
        <is>
          <t>2026-04-28</t>
        </is>
      </c>
    </row>
    <row r="10">
      <c r="A10" s="2" t="inlineStr">
        <is>
          <t>Mercado Pago blog oficial</t>
        </is>
      </c>
      <c r="B10" s="2" t="inlineStr">
        <is>
          <t>https://www.mercadopago.com.br/blog/quanto-custa-vender-on-line-com-mercado-pago</t>
        </is>
      </c>
      <c r="C10" s="2" t="inlineStr">
        <is>
          <t>Taxas online de cartao, Pix e boleto</t>
        </is>
      </c>
      <c r="D10" s="2" t="inlineStr">
        <is>
          <t>2026-04-28</t>
        </is>
      </c>
    </row>
    <row r="11">
      <c r="A11" s="2" t="inlineStr">
        <is>
          <t>Mercado Pago support</t>
        </is>
      </c>
      <c r="B11" s="2" t="inlineStr">
        <is>
          <t>https://www.mercadopago.com.br/developers/pt/support/37740</t>
        </is>
      </c>
      <c r="C11" s="2" t="inlineStr">
        <is>
          <t>Confirmacao de que o custo varia por meio e prazo</t>
        </is>
      </c>
      <c r="D11" s="2" t="inlineStr">
        <is>
          <t>2026-04-28</t>
        </is>
      </c>
    </row>
    <row r="12">
      <c r="A12" s="2" t="inlineStr">
        <is>
          <t>BCB PTAX</t>
        </is>
      </c>
      <c r="B12" s="2" t="inlineStr">
        <is>
          <t>https://olinda.bcb.gov.br/olinda/servico/PTAX/versao/v1/odata/CotacaoMoedaPeriodo</t>
        </is>
      </c>
      <c r="C12" s="2" t="inlineStr">
        <is>
          <t>Conversao USD/BRL usada na planilha</t>
        </is>
      </c>
      <c r="D12" s="2" t="inlineStr">
        <is>
          <t>2026-04-28</t>
        </is>
      </c>
    </row>
    <row r="13">
      <c r="A13" s="2" t="inlineStr">
        <is>
          <t>Gov.br Fazenda</t>
        </is>
      </c>
      <c r="B13" s="2" t="inlineStr">
        <is>
          <t>https://www.gov.br/fazenda/pt-br/central-de-conteudo/publicacoes/apresentacoes/2025/Maio/iof-maio-2025.pdf/%40%40download/file</t>
        </is>
      </c>
      <c r="C13" s="2" t="inlineStr">
        <is>
          <t>Aliquota de 3,5% para cartoes internacionais</t>
        </is>
      </c>
      <c r="D13" s="2" t="inlineStr">
        <is>
          <t>2026-04-28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2026-04-28T13:41:31Z</dcterms:created>
  <dcterms:modified xsi:type="dcterms:W3CDTF">2026-04-28T13:41:31Z</dcterms:modified>
</cp:coreProperties>
</file>