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rti\OneDrive\Documentos\TSZR15\docs\"/>
    </mc:Choice>
  </mc:AlternateContent>
  <xr:revisionPtr revIDLastSave="0" documentId="13_ncr:1_{5BCD2ED8-D2E5-4950-8ACF-9331CAD83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missas" sheetId="1" r:id="rId1"/>
    <sheet name="Custos" sheetId="2" r:id="rId2"/>
    <sheet name="Resumo" sheetId="3" r:id="rId3"/>
    <sheet name="Fontes" sheetId="4" r:id="rId4"/>
  </sheets>
  <definedNames>
    <definedName name="_xlnm._FilterDatabase" localSheetId="1" hidden="1">Custos!$A$1:$M$22</definedName>
    <definedName name="_xlnm._FilterDatabase" localSheetId="3" hidden="1">Fontes!$A$1:$D$13</definedName>
    <definedName name="_xlnm._FilterDatabase" localSheetId="0" hidden="1">Premissas!$A$1:$D$23</definedName>
    <definedName name="_xlnm._FilterDatabase" localSheetId="2" hidden="1">Resumo!$A$1:$C$9</definedName>
  </definedNames>
  <calcPr calcId="181029" forceFullCalc="1"/>
</workbook>
</file>

<file path=xl/calcChain.xml><?xml version="1.0" encoding="utf-8"?>
<calcChain xmlns="http://schemas.openxmlformats.org/spreadsheetml/2006/main">
  <c r="J22" i="2" l="1"/>
  <c r="I22" i="2"/>
  <c r="J21" i="2"/>
  <c r="I21" i="2"/>
  <c r="J20" i="2"/>
  <c r="I20" i="2"/>
  <c r="J19" i="2"/>
  <c r="I19" i="2"/>
  <c r="H17" i="2"/>
  <c r="G17" i="2"/>
  <c r="G16" i="2"/>
  <c r="G15" i="2"/>
  <c r="I15" i="2" s="1"/>
  <c r="J15" i="2" s="1"/>
  <c r="H14" i="2"/>
  <c r="G14" i="2"/>
  <c r="I14" i="2" s="1"/>
  <c r="J14" i="2" s="1"/>
  <c r="H13" i="2"/>
  <c r="I13" i="2" s="1"/>
  <c r="J13" i="2" s="1"/>
  <c r="H12" i="2"/>
  <c r="I12" i="2" s="1"/>
  <c r="J12" i="2" s="1"/>
  <c r="H11" i="2"/>
  <c r="I11" i="2" s="1"/>
  <c r="J11" i="2" s="1"/>
  <c r="H10" i="2"/>
  <c r="I10" i="2" s="1"/>
  <c r="J10" i="2" s="1"/>
  <c r="H9" i="2"/>
  <c r="I9" i="2" s="1"/>
  <c r="J9" i="2" s="1"/>
  <c r="H8" i="2"/>
  <c r="I8" i="2" s="1"/>
  <c r="J8" i="2" s="1"/>
  <c r="I7" i="2"/>
  <c r="J7" i="2" s="1"/>
  <c r="H6" i="2"/>
  <c r="I6" i="2" s="1"/>
  <c r="J6" i="2" s="1"/>
  <c r="H5" i="2"/>
  <c r="I5" i="2" s="1"/>
  <c r="J5" i="2" s="1"/>
  <c r="I4" i="2"/>
  <c r="J4" i="2" s="1"/>
  <c r="H3" i="2"/>
  <c r="I3" i="2" s="1"/>
  <c r="J3" i="2" s="1"/>
  <c r="H2" i="2"/>
  <c r="I2" i="2" s="1"/>
  <c r="B6" i="1"/>
  <c r="H15" i="2" s="1"/>
  <c r="I17" i="2" l="1"/>
  <c r="J17" i="2" s="1"/>
  <c r="J2" i="2"/>
  <c r="G18" i="2"/>
  <c r="I18" i="2" s="1"/>
  <c r="J18" i="2" s="1"/>
  <c r="H16" i="2"/>
  <c r="I16" i="2" s="1"/>
  <c r="J16" i="2" s="1"/>
  <c r="B7" i="3" s="1"/>
  <c r="B2" i="3" l="1"/>
  <c r="B5" i="3"/>
  <c r="B4" i="3"/>
  <c r="B3" i="3"/>
  <c r="B6" i="3" l="1"/>
  <c r="B8" i="3" s="1"/>
</calcChain>
</file>

<file path=xl/sharedStrings.xml><?xml version="1.0" encoding="utf-8"?>
<sst xmlns="http://schemas.openxmlformats.org/spreadsheetml/2006/main" count="323" uniqueCount="198">
  <si>
    <t>Campo</t>
  </si>
  <si>
    <t>Valor</t>
  </si>
  <si>
    <t>Unidade</t>
  </si>
  <si>
    <t>Observacao</t>
  </si>
  <si>
    <t>Data da analise</t>
  </si>
  <si>
    <t>2026-04-28</t>
  </si>
  <si>
    <t>Planilha gerada com precos oficiais consultados em 2026-04-28.</t>
  </si>
  <si>
    <t>USD/BRL PTAX fechamento</t>
  </si>
  <si>
    <t>BRL por USD</t>
  </si>
  <si>
    <t>Banco Central do Brasil, fechamento de 2026-04-27.</t>
  </si>
  <si>
    <t>Pedidos por mes</t>
  </si>
  <si>
    <t>pedidos</t>
  </si>
  <si>
    <t>Valor editavel.</t>
  </si>
  <si>
    <t>Ticket medio</t>
  </si>
  <si>
    <t>BRL</t>
  </si>
  <si>
    <t>GMV mensal</t>
  </si>
  <si>
    <t>Faturamento bruto mensal usado nas taxas variaveis.</t>
  </si>
  <si>
    <t>Mix Pix</t>
  </si>
  <si>
    <t>fracao</t>
  </si>
  <si>
    <t>Mix cartao</t>
  </si>
  <si>
    <t>Mix boleto</t>
  </si>
  <si>
    <t>Taxa cartao MP em 30 dias</t>
  </si>
  <si>
    <t>Checkout online; fonte oficial Mercado Pago.</t>
  </si>
  <si>
    <t>Taxa cartao MP na hora</t>
  </si>
  <si>
    <t>Alternativa para comparacao de fluxo de caixa.</t>
  </si>
  <si>
    <t>Taxa Pix MP</t>
  </si>
  <si>
    <t>Taxa boleto MP</t>
  </si>
  <si>
    <t>BRL por boleto</t>
  </si>
  <si>
    <t>Storage R2 usado</t>
  </si>
  <si>
    <t>GB-mes</t>
  </si>
  <si>
    <t>Exemplo para imagens e modelos 3D; valor editavel.</t>
  </si>
  <si>
    <t>Operacoes R2 Class A</t>
  </si>
  <si>
    <t>milhoes/mes</t>
  </si>
  <si>
    <t>Exemplo; valor editavel.</t>
  </si>
  <si>
    <t>Operacoes R2 Class B</t>
  </si>
  <si>
    <t>Emails transacionais por mes</t>
  </si>
  <si>
    <t>emails</t>
  </si>
  <si>
    <t>Exemplo; 15 emails por 10 pedidos.</t>
  </si>
  <si>
    <t>Caixas Google Workspace</t>
  </si>
  <si>
    <t>usuarios</t>
  </si>
  <si>
    <t>Exemplo para suporte@ ou contato@.</t>
  </si>
  <si>
    <t>Usar UptimeRobot Solo</t>
  </si>
  <si>
    <t>0 ou 1</t>
  </si>
  <si>
    <t>Troque para 0 se nao quiser custo opcional.</t>
  </si>
  <si>
    <t>Usar Resend Pro</t>
  </si>
  <si>
    <t>0 usa Free; 1 usa Pro.</t>
  </si>
  <si>
    <t>Transferencia extra Vercel</t>
  </si>
  <si>
    <t>GB/mes</t>
  </si>
  <si>
    <t>Acima do que estiver incluido no plano.</t>
  </si>
  <si>
    <t>Edge requests extras Vercel</t>
  </si>
  <si>
    <t>IOF sobre gastos internacionais</t>
  </si>
  <si>
    <t>Usado para estimar custo em cartao em SaaS cobrados em USD.</t>
  </si>
  <si>
    <t>Categoria</t>
  </si>
  <si>
    <t>Item</t>
  </si>
  <si>
    <t>Provider</t>
  </si>
  <si>
    <t>Status</t>
  </si>
  <si>
    <t>Tipo</t>
  </si>
  <si>
    <t>Moeda</t>
  </si>
  <si>
    <t>Preco unitario</t>
  </si>
  <si>
    <t>Quantidade / formula</t>
  </si>
  <si>
    <t>Mensal moeda origem</t>
  </si>
  <si>
    <t>Mensal em BRL</t>
  </si>
  <si>
    <t>Incluir no total</t>
  </si>
  <si>
    <t>Notas</t>
  </si>
  <si>
    <t>Fonte</t>
  </si>
  <si>
    <t>Dominio</t>
  </si>
  <si>
    <t>Dominio .com.br</t>
  </si>
  <si>
    <t>Registro.br</t>
  </si>
  <si>
    <t>Obrigatorio</t>
  </si>
  <si>
    <t>Fixo</t>
  </si>
  <si>
    <t>Registro anual de dominio brasileiro; mensalizado para orcamento.</t>
  </si>
  <si>
    <t>https://registro.br/</t>
  </si>
  <si>
    <t>Dominio .com (alternativa)</t>
  </si>
  <si>
    <t>Porkbun</t>
  </si>
  <si>
    <t>Alternativa</t>
  </si>
  <si>
    <t>USD</t>
  </si>
  <si>
    <t>Alternativa internacional; use se decidir operar com .com em vez de .com.br.</t>
  </si>
  <si>
    <t>https://porkbun.com/products/domains</t>
  </si>
  <si>
    <t>Hospedagem</t>
  </si>
  <si>
    <t>Frontend / app Next.js - Pro</t>
  </si>
  <si>
    <t>Vercel</t>
  </si>
  <si>
    <t>Plano Pro para ambiente de producao. Hobby existe, mas este orcamento usa baseline profissional.</t>
  </si>
  <si>
    <t>https://vercel.com/pricing</t>
  </si>
  <si>
    <t>Transferencia extra</t>
  </si>
  <si>
    <t>Sob demanda</t>
  </si>
  <si>
    <t>Overage</t>
  </si>
  <si>
    <t>So cobra se passar do incluido no plano.</t>
  </si>
  <si>
    <t>Edge requests extras</t>
  </si>
  <si>
    <t>Preco por 1M de requests acima do incluido no Pro.</t>
  </si>
  <si>
    <t>Banco de dados</t>
  </si>
  <si>
    <t>Postgres gerenciado - Launch</t>
  </si>
  <si>
    <t>Neon</t>
  </si>
  <si>
    <t>Fixo estimado</t>
  </si>
  <si>
    <t>Usa o typical spend oficial do plano Launch como baseline do projeto.</t>
  </si>
  <si>
    <t>https://neon.com/pricing</t>
  </si>
  <si>
    <t>Storage de assets</t>
  </si>
  <si>
    <t>Storage acima do free tier</t>
  </si>
  <si>
    <t>Cloudflare R2</t>
  </si>
  <si>
    <t>Variavel</t>
  </si>
  <si>
    <t>O free tier inclui 10 GB-mes; este item cobra apenas excedente.</t>
  </si>
  <si>
    <t>https://developers.cloudflare.com/r2/pricing/</t>
  </si>
  <si>
    <t>Operacoes Class A acima do free tier</t>
  </si>
  <si>
    <t>Preco por milhao de operacoes acima de 1M/mensal.</t>
  </si>
  <si>
    <t>Operacoes Class B acima do free tier</t>
  </si>
  <si>
    <t>Preco por milhao de operacoes acima de 10M/mensal.</t>
  </si>
  <si>
    <t>Email transacional</t>
  </si>
  <si>
    <t>Plano Pro</t>
  </si>
  <si>
    <t>Resend</t>
  </si>
  <si>
    <t>Opcional</t>
  </si>
  <si>
    <t>Se B20=0, voce fica no Free ate 3.000 emails/mes; se B20=1, usa Pro com 50.000 emails/mes.</t>
  </si>
  <si>
    <t>https://resend.com/pricing</t>
  </si>
  <si>
    <t>Email corporativo</t>
  </si>
  <si>
    <t>Business Starter</t>
  </si>
  <si>
    <t>Google Workspace</t>
  </si>
  <si>
    <t>Recomendado</t>
  </si>
  <si>
    <t>Usado para caixa profissional com dominio proprio.</t>
  </si>
  <si>
    <t>https://workspace.google.com/pricing</t>
  </si>
  <si>
    <t>Monitoramento</t>
  </si>
  <si>
    <t>Plano Solo</t>
  </si>
  <si>
    <t>UptimeRobot</t>
  </si>
  <si>
    <t>Monitoramento de disponibilidade e expirar de SSL/dominio.</t>
  </si>
  <si>
    <t>https://uptimerobot.com/pricing/</t>
  </si>
  <si>
    <t>Pagamentos</t>
  </si>
  <si>
    <t>Taxa Pix</t>
  </si>
  <si>
    <t>Mercado Pago</t>
  </si>
  <si>
    <t>Baseado no mix de Pix e na taxa online oficial.</t>
  </si>
  <si>
    <t>https://www.mercadopago.com.br/blog/quanto-custa-vender-on-line-com-mercado-pago</t>
  </si>
  <si>
    <t>Taxa cartao (recebendo em 30 dias)</t>
  </si>
  <si>
    <t>Use esta linha como baseline. Se quiser comparar recebimento imediato, veja a linha abaixo.</t>
  </si>
  <si>
    <t>Delta se trocar cartao para recebimento na hora</t>
  </si>
  <si>
    <t>Cenario</t>
  </si>
  <si>
    <t>Mantido fora do total para servir de comparacao de fluxo de caixa.</t>
  </si>
  <si>
    <t>Taxa boleto</t>
  </si>
  <si>
    <t>Custo por boleto emitido no mix informado.</t>
  </si>
  <si>
    <t>Tributo financeiro</t>
  </si>
  <si>
    <t>IOF sobre SaaS em USD</t>
  </si>
  <si>
    <t>Cartao / emissor</t>
  </si>
  <si>
    <t>Estimativa do imposto em cobrancas internacionais pagas com cartao brasileiro.</t>
  </si>
  <si>
    <t>https://www.gov.br/fazenda/pt-br/central-de-conteudo/publicacoes/apresentacoes/2025/Maio/iof-maio-2025.pdf/%40%40download/file</t>
  </si>
  <si>
    <t>Infra incluida</t>
  </si>
  <si>
    <t>SSL/TLS</t>
  </si>
  <si>
    <t>Vercel / Let's Encrypt</t>
  </si>
  <si>
    <t>Incluido</t>
  </si>
  <si>
    <t>Zero</t>
  </si>
  <si>
    <t>Nao orcado separadamente; tratado como custo zero no stack sugerido.</t>
  </si>
  <si>
    <t>CDN global</t>
  </si>
  <si>
    <t>Incluso no plano; overage aparece nas linhas de transferencia e edge requests.</t>
  </si>
  <si>
    <t>Backups base / time-travel</t>
  </si>
  <si>
    <t>Ja contemplado no baseline do Neon Launch.</t>
  </si>
  <si>
    <t>Gateway</t>
  </si>
  <si>
    <t>Mensalidade do meio de pagamento</t>
  </si>
  <si>
    <t>O gateway online modelado aqui nao entra com mensalidade fixa; o custo vem das taxas por venda.</t>
  </si>
  <si>
    <t>https://www.mercadopago.com.br/developers/pt/support/37740</t>
  </si>
  <si>
    <t>Resumo</t>
  </si>
  <si>
    <t>Formula / valor</t>
  </si>
  <si>
    <t>Custos fixos obrigatorios</t>
  </si>
  <si>
    <t>Sem custos opcionais e sem taxas por venda.</t>
  </si>
  <si>
    <t>Custos fixos adicionais recomendados/opcionais ligados</t>
  </si>
  <si>
    <t>Mostra apenas o adicional acima do minimo obrigatorio.</t>
  </si>
  <si>
    <t>Custos variaveis do cenario atual</t>
  </si>
  <si>
    <t>Inclui taxas de pagamento, storage variavel e IOF do cenario atual.</t>
  </si>
  <si>
    <t>Overages tecnicos no cenario atual</t>
  </si>
  <si>
    <t>Normalmente zero se o uso ficar no baseline.</t>
  </si>
  <si>
    <t>Total mensal operacional</t>
  </si>
  <si>
    <t>Soma do que entra no orcamento mensal do site.</t>
  </si>
  <si>
    <t>Delta se cartao receber na hora</t>
  </si>
  <si>
    <t>Custo extra mensal se trocar o cartao de 30 dias para recebimento imediato.</t>
  </si>
  <si>
    <t>Total mensal com cartao na hora</t>
  </si>
  <si>
    <t>Cenario alternativo de caixa.</t>
  </si>
  <si>
    <t>Observacao de escopo</t>
  </si>
  <si>
    <t>Fora do escopo</t>
  </si>
  <si>
    <t>Nao inclui custo do produto, frete do dropshipping, impostos da empresa, devolucoes, chargeback, dev e design.</t>
  </si>
  <si>
    <t>URL</t>
  </si>
  <si>
    <t>Uso</t>
  </si>
  <si>
    <t>Data de acesso</t>
  </si>
  <si>
    <t>Meta description com preco de dominio .br</t>
  </si>
  <si>
    <t>Preco de entrada para .com</t>
  </si>
  <si>
    <t>Vercel Pricing</t>
  </si>
  <si>
    <t>Plano Pro e overages</t>
  </si>
  <si>
    <t>Neon Pricing</t>
  </si>
  <si>
    <t>Typical spend e preco Launch</t>
  </si>
  <si>
    <t>Cloudflare R2 Pricing</t>
  </si>
  <si>
    <t>Storage, operacoes e free tier</t>
  </si>
  <si>
    <t>Resend Pricing</t>
  </si>
  <si>
    <t>Free e Pro para email transacional</t>
  </si>
  <si>
    <t>Google Workspace Pricing</t>
  </si>
  <si>
    <t>Business Starter por usuario</t>
  </si>
  <si>
    <t>UptimeRobot Pricing</t>
  </si>
  <si>
    <t>Plano Solo de monitoramento</t>
  </si>
  <si>
    <t>Mercado Pago blog oficial</t>
  </si>
  <si>
    <t>Taxas online de cartao, Pix e boleto</t>
  </si>
  <si>
    <t>Mercado Pago support</t>
  </si>
  <si>
    <t>Confirmacao de que o custo varia por meio e prazo</t>
  </si>
  <si>
    <t>BCB PTAX</t>
  </si>
  <si>
    <t>https://olinda.bcb.gov.br/olinda/servico/PTAX/versao/v1/odata/CotacaoMoedaPeriodo</t>
  </si>
  <si>
    <t>Conversao USD/BRL usada na planilha</t>
  </si>
  <si>
    <t>Gov.br Fazenda</t>
  </si>
  <si>
    <t>Aliquota de 3,5% para cartoes internacionais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</si>
</sst>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4" fontId="0" fillId="3" borderId="0" xfId="0" applyNumberFormat="1" applyFill="1" applyAlignment="1">
      <alignment vertical="top" wrapText="1"/>
    </xf>
    <xf numFmtId="165" fontId="0" fillId="3" borderId="0" xfId="0" applyNumberFormat="1" applyFill="1" applyAlignment="1">
      <alignment vertical="top" wrapText="1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4" borderId="0" xfId="0" applyFill="1" applyAlignment="1">
      <alignment vertical="top" wrapText="1"/>
    </xf>
    <xf numFmtId="4" fontId="0" fillId="4" borderId="0" xfId="0" applyNumberFormat="1" applyFill="1" applyAlignment="1">
      <alignment vertical="top" wrapText="1"/>
    </xf>
    <xf numFmtId="165" fontId="0" fillId="4" borderId="0" xfId="0" applyNumberFormat="1" applyFill="1" applyAlignment="1">
      <alignment vertical="top" wrapText="1"/>
    </xf>
    <xf numFmtId="0" fontId="0" fillId="4" borderId="0" xfId="0" applyFill="1" applyAlignment="1">
      <alignment horizontal="center" vertical="top"/>
    </xf>
    <xf numFmtId="10" fontId="0" fillId="3" borderId="0" xfId="0" applyNumberFormat="1" applyFill="1" applyAlignment="1">
      <alignment vertical="top" wrapText="1"/>
    </xf>
    <xf numFmtId="0" fontId="0" fillId="5" borderId="0" xfId="0" applyFill="1" applyAlignment="1">
      <alignment vertical="top" wrapText="1"/>
    </xf>
    <xf numFmtId="4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 wrapText="1"/>
    </xf>
    <xf numFmtId="0" fontId="0" fillId="5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" customWidth="1"/>
    <col min="2" max="2" width="12" customWidth="1"/>
    <col min="3" max="3" width="16" customWidth="1"/>
    <col min="4" max="4" width="5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t="s">
        <v>4</v>
      </c>
      <c r="B2" s="2" t="s">
        <v>5</v>
      </c>
      <c r="D2" s="2" t="s">
        <v>6</v>
      </c>
    </row>
    <row r="3" spans="1:4" x14ac:dyDescent="0.3">
      <c r="A3" t="s">
        <v>7</v>
      </c>
      <c r="B3" s="3">
        <v>4.97</v>
      </c>
      <c r="C3" t="s">
        <v>8</v>
      </c>
      <c r="D3" s="2" t="s">
        <v>9</v>
      </c>
    </row>
    <row r="4" spans="1:4" x14ac:dyDescent="0.3">
      <c r="A4" t="s">
        <v>10</v>
      </c>
      <c r="B4" s="4">
        <v>100</v>
      </c>
      <c r="C4" t="s">
        <v>11</v>
      </c>
      <c r="D4" s="2" t="s">
        <v>12</v>
      </c>
    </row>
    <row r="5" spans="1:4" x14ac:dyDescent="0.3">
      <c r="A5" t="s">
        <v>13</v>
      </c>
      <c r="B5" s="5">
        <v>250</v>
      </c>
      <c r="C5" t="s">
        <v>14</v>
      </c>
      <c r="D5" s="2" t="s">
        <v>12</v>
      </c>
    </row>
    <row r="6" spans="1:4" x14ac:dyDescent="0.3">
      <c r="A6" t="s">
        <v>15</v>
      </c>
      <c r="B6" s="5">
        <f>B4*B5</f>
        <v>25000</v>
      </c>
      <c r="C6" t="s">
        <v>14</v>
      </c>
      <c r="D6" s="2" t="s">
        <v>16</v>
      </c>
    </row>
    <row r="7" spans="1:4" x14ac:dyDescent="0.3">
      <c r="A7" t="s">
        <v>17</v>
      </c>
      <c r="B7" s="6">
        <v>0.6</v>
      </c>
      <c r="C7" t="s">
        <v>18</v>
      </c>
      <c r="D7" s="2" t="s">
        <v>12</v>
      </c>
    </row>
    <row r="8" spans="1:4" x14ac:dyDescent="0.3">
      <c r="A8" t="s">
        <v>19</v>
      </c>
      <c r="B8" s="6">
        <v>0.35</v>
      </c>
      <c r="C8" t="s">
        <v>18</v>
      </c>
      <c r="D8" s="2" t="s">
        <v>12</v>
      </c>
    </row>
    <row r="9" spans="1:4" x14ac:dyDescent="0.3">
      <c r="A9" t="s">
        <v>20</v>
      </c>
      <c r="B9" s="6">
        <v>0.05</v>
      </c>
      <c r="C9" t="s">
        <v>18</v>
      </c>
      <c r="D9" s="2" t="s">
        <v>12</v>
      </c>
    </row>
    <row r="10" spans="1:4" x14ac:dyDescent="0.3">
      <c r="A10" t="s">
        <v>21</v>
      </c>
      <c r="B10" s="6">
        <v>3.9899999999999998E-2</v>
      </c>
      <c r="C10" t="s">
        <v>18</v>
      </c>
      <c r="D10" s="2" t="s">
        <v>22</v>
      </c>
    </row>
    <row r="11" spans="1:4" x14ac:dyDescent="0.3">
      <c r="A11" t="s">
        <v>23</v>
      </c>
      <c r="B11" s="6">
        <v>4.99E-2</v>
      </c>
      <c r="C11" t="s">
        <v>18</v>
      </c>
      <c r="D11" s="2" t="s">
        <v>24</v>
      </c>
    </row>
    <row r="12" spans="1:4" x14ac:dyDescent="0.3">
      <c r="A12" t="s">
        <v>25</v>
      </c>
      <c r="B12" s="6">
        <v>9.9000000000000008E-3</v>
      </c>
      <c r="C12" t="s">
        <v>18</v>
      </c>
      <c r="D12" s="2" t="s">
        <v>22</v>
      </c>
    </row>
    <row r="13" spans="1:4" x14ac:dyDescent="0.3">
      <c r="A13" t="s">
        <v>26</v>
      </c>
      <c r="B13" s="5">
        <v>3.49</v>
      </c>
      <c r="C13" t="s">
        <v>27</v>
      </c>
      <c r="D13" s="2" t="s">
        <v>22</v>
      </c>
    </row>
    <row r="14" spans="1:4" x14ac:dyDescent="0.3">
      <c r="A14" t="s">
        <v>28</v>
      </c>
      <c r="B14" s="7">
        <v>20</v>
      </c>
      <c r="C14" t="s">
        <v>29</v>
      </c>
      <c r="D14" s="2" t="s">
        <v>30</v>
      </c>
    </row>
    <row r="15" spans="1:4" x14ac:dyDescent="0.3">
      <c r="A15" t="s">
        <v>31</v>
      </c>
      <c r="B15" s="7">
        <v>0.1</v>
      </c>
      <c r="C15" t="s">
        <v>32</v>
      </c>
      <c r="D15" s="2" t="s">
        <v>33</v>
      </c>
    </row>
    <row r="16" spans="1:4" x14ac:dyDescent="0.3">
      <c r="A16" t="s">
        <v>34</v>
      </c>
      <c r="B16" s="7">
        <v>2</v>
      </c>
      <c r="C16" t="s">
        <v>32</v>
      </c>
      <c r="D16" s="2" t="s">
        <v>33</v>
      </c>
    </row>
    <row r="17" spans="1:4" x14ac:dyDescent="0.3">
      <c r="A17" t="s">
        <v>35</v>
      </c>
      <c r="B17" s="4">
        <v>1500</v>
      </c>
      <c r="C17" t="s">
        <v>36</v>
      </c>
      <c r="D17" s="2" t="s">
        <v>37</v>
      </c>
    </row>
    <row r="18" spans="1:4" x14ac:dyDescent="0.3">
      <c r="A18" t="s">
        <v>38</v>
      </c>
      <c r="B18" s="4">
        <v>1</v>
      </c>
      <c r="C18" t="s">
        <v>39</v>
      </c>
      <c r="D18" s="2" t="s">
        <v>40</v>
      </c>
    </row>
    <row r="19" spans="1:4" x14ac:dyDescent="0.3">
      <c r="A19" t="s">
        <v>41</v>
      </c>
      <c r="B19" s="4">
        <v>1</v>
      </c>
      <c r="C19" t="s">
        <v>42</v>
      </c>
      <c r="D19" s="2" t="s">
        <v>43</v>
      </c>
    </row>
    <row r="20" spans="1:4" x14ac:dyDescent="0.3">
      <c r="A20" t="s">
        <v>44</v>
      </c>
      <c r="B20" s="4">
        <v>0</v>
      </c>
      <c r="C20" t="s">
        <v>42</v>
      </c>
      <c r="D20" s="2" t="s">
        <v>45</v>
      </c>
    </row>
    <row r="21" spans="1:4" x14ac:dyDescent="0.3">
      <c r="A21" t="s">
        <v>46</v>
      </c>
      <c r="B21" s="4">
        <v>0</v>
      </c>
      <c r="C21" t="s">
        <v>47</v>
      </c>
      <c r="D21" s="2" t="s">
        <v>48</v>
      </c>
    </row>
    <row r="22" spans="1:4" x14ac:dyDescent="0.3">
      <c r="A22" t="s">
        <v>49</v>
      </c>
      <c r="B22" s="4">
        <v>0</v>
      </c>
      <c r="C22" t="s">
        <v>32</v>
      </c>
      <c r="D22" s="2" t="s">
        <v>48</v>
      </c>
    </row>
    <row r="23" spans="1:4" ht="28.8" x14ac:dyDescent="0.3">
      <c r="A23" t="s">
        <v>50</v>
      </c>
      <c r="B23" s="6">
        <v>3.5000000000000003E-2</v>
      </c>
      <c r="C23" t="s">
        <v>18</v>
      </c>
      <c r="D23" s="2" t="s">
        <v>51</v>
      </c>
    </row>
  </sheetData>
  <autoFilter ref="A1:D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9" customWidth="1"/>
    <col min="3" max="3" width="24" customWidth="1"/>
    <col min="4" max="4" width="13" customWidth="1"/>
    <col min="5" max="5" width="15" customWidth="1"/>
    <col min="6" max="6" width="12" customWidth="1"/>
    <col min="7" max="7" width="54" customWidth="1"/>
    <col min="8" max="8" width="32" customWidth="1"/>
    <col min="9" max="10" width="21" customWidth="1"/>
    <col min="11" max="11" width="18" customWidth="1"/>
    <col min="12" max="13" width="54" customWidth="1"/>
  </cols>
  <sheetData>
    <row r="1" spans="1:13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ht="28.8" x14ac:dyDescent="0.3">
      <c r="A2" s="8" t="s">
        <v>65</v>
      </c>
      <c r="B2" s="8" t="s">
        <v>66</v>
      </c>
      <c r="C2" s="8" t="s">
        <v>67</v>
      </c>
      <c r="D2" s="8" t="s">
        <v>68</v>
      </c>
      <c r="E2" s="8" t="s">
        <v>69</v>
      </c>
      <c r="F2" s="8" t="s">
        <v>14</v>
      </c>
      <c r="G2" s="9">
        <v>40</v>
      </c>
      <c r="H2" s="8">
        <f>1/12</f>
        <v>8.3333333333333329E-2</v>
      </c>
      <c r="I2" s="9">
        <f t="shared" ref="I2:I18" si="0">G2*H2</f>
        <v>3.333333333333333</v>
      </c>
      <c r="J2" s="10">
        <f>I2</f>
        <v>3.333333333333333</v>
      </c>
      <c r="K2" s="11">
        <v>1</v>
      </c>
      <c r="L2" s="8" t="s">
        <v>70</v>
      </c>
      <c r="M2" s="8" t="s">
        <v>71</v>
      </c>
    </row>
    <row r="3" spans="1:13" ht="28.8" x14ac:dyDescent="0.3">
      <c r="A3" s="2" t="s">
        <v>65</v>
      </c>
      <c r="B3" s="2" t="s">
        <v>72</v>
      </c>
      <c r="C3" s="2" t="s">
        <v>73</v>
      </c>
      <c r="D3" s="2" t="s">
        <v>74</v>
      </c>
      <c r="E3" s="2" t="s">
        <v>69</v>
      </c>
      <c r="F3" s="2" t="s">
        <v>75</v>
      </c>
      <c r="G3" s="7">
        <v>11.08</v>
      </c>
      <c r="H3" s="2">
        <f>1/12</f>
        <v>8.3333333333333329E-2</v>
      </c>
      <c r="I3" s="7">
        <f t="shared" si="0"/>
        <v>0.92333333333333334</v>
      </c>
      <c r="J3" s="5">
        <f>I3*Premissas!$B$3</f>
        <v>4.5889666666666669</v>
      </c>
      <c r="K3" s="12">
        <v>0</v>
      </c>
      <c r="L3" s="2" t="s">
        <v>76</v>
      </c>
      <c r="M3" s="2" t="s">
        <v>77</v>
      </c>
    </row>
    <row r="4" spans="1:13" ht="28.8" x14ac:dyDescent="0.3">
      <c r="A4" s="8" t="s">
        <v>78</v>
      </c>
      <c r="B4" s="8" t="s">
        <v>79</v>
      </c>
      <c r="C4" s="8" t="s">
        <v>80</v>
      </c>
      <c r="D4" s="8" t="s">
        <v>68</v>
      </c>
      <c r="E4" s="8" t="s">
        <v>69</v>
      </c>
      <c r="F4" s="8" t="s">
        <v>75</v>
      </c>
      <c r="G4" s="9">
        <v>20</v>
      </c>
      <c r="H4" s="8">
        <v>1</v>
      </c>
      <c r="I4" s="9">
        <f t="shared" si="0"/>
        <v>20</v>
      </c>
      <c r="J4" s="10">
        <f>I4*Premissas!$B$3</f>
        <v>99.399999999999991</v>
      </c>
      <c r="K4" s="11">
        <v>1</v>
      </c>
      <c r="L4" s="8" t="s">
        <v>81</v>
      </c>
      <c r="M4" s="8" t="s">
        <v>82</v>
      </c>
    </row>
    <row r="5" spans="1:13" x14ac:dyDescent="0.3">
      <c r="A5" s="2" t="s">
        <v>78</v>
      </c>
      <c r="B5" s="2" t="s">
        <v>83</v>
      </c>
      <c r="C5" s="2" t="s">
        <v>80</v>
      </c>
      <c r="D5" s="2" t="s">
        <v>84</v>
      </c>
      <c r="E5" s="2" t="s">
        <v>85</v>
      </c>
      <c r="F5" s="2" t="s">
        <v>75</v>
      </c>
      <c r="G5" s="7">
        <v>0.15</v>
      </c>
      <c r="H5" s="2">
        <f>Premissas!$B$21</f>
        <v>0</v>
      </c>
      <c r="I5" s="7">
        <f t="shared" si="0"/>
        <v>0</v>
      </c>
      <c r="J5" s="5">
        <f>I5*Premissas!$B$3</f>
        <v>0</v>
      </c>
      <c r="K5" s="12">
        <v>1</v>
      </c>
      <c r="L5" s="2" t="s">
        <v>86</v>
      </c>
      <c r="M5" s="2" t="s">
        <v>82</v>
      </c>
    </row>
    <row r="6" spans="1:13" x14ac:dyDescent="0.3">
      <c r="A6" s="2" t="s">
        <v>78</v>
      </c>
      <c r="B6" s="2" t="s">
        <v>87</v>
      </c>
      <c r="C6" s="2" t="s">
        <v>80</v>
      </c>
      <c r="D6" s="2" t="s">
        <v>84</v>
      </c>
      <c r="E6" s="2" t="s">
        <v>85</v>
      </c>
      <c r="F6" s="2" t="s">
        <v>75</v>
      </c>
      <c r="G6" s="7">
        <v>2</v>
      </c>
      <c r="H6" s="2">
        <f>Premissas!$B$22</f>
        <v>0</v>
      </c>
      <c r="I6" s="7">
        <f t="shared" si="0"/>
        <v>0</v>
      </c>
      <c r="J6" s="5">
        <f>I6*Premissas!$B$3</f>
        <v>0</v>
      </c>
      <c r="K6" s="12">
        <v>1</v>
      </c>
      <c r="L6" s="2" t="s">
        <v>88</v>
      </c>
      <c r="M6" s="2" t="s">
        <v>82</v>
      </c>
    </row>
    <row r="7" spans="1:13" ht="28.8" x14ac:dyDescent="0.3">
      <c r="A7" s="8" t="s">
        <v>89</v>
      </c>
      <c r="B7" s="8" t="s">
        <v>90</v>
      </c>
      <c r="C7" s="8" t="s">
        <v>91</v>
      </c>
      <c r="D7" s="8" t="s">
        <v>68</v>
      </c>
      <c r="E7" s="8" t="s">
        <v>92</v>
      </c>
      <c r="F7" s="8" t="s">
        <v>75</v>
      </c>
      <c r="G7" s="9">
        <v>15</v>
      </c>
      <c r="H7" s="8">
        <v>1</v>
      </c>
      <c r="I7" s="9">
        <f t="shared" si="0"/>
        <v>15</v>
      </c>
      <c r="J7" s="10">
        <f>I7*Premissas!$B$3</f>
        <v>74.55</v>
      </c>
      <c r="K7" s="11">
        <v>1</v>
      </c>
      <c r="L7" s="8" t="s">
        <v>93</v>
      </c>
      <c r="M7" s="8" t="s">
        <v>94</v>
      </c>
    </row>
    <row r="8" spans="1:13" x14ac:dyDescent="0.3">
      <c r="A8" s="2" t="s">
        <v>95</v>
      </c>
      <c r="B8" s="2" t="s">
        <v>96</v>
      </c>
      <c r="C8" s="2" t="s">
        <v>97</v>
      </c>
      <c r="D8" s="2" t="s">
        <v>84</v>
      </c>
      <c r="E8" s="2" t="s">
        <v>98</v>
      </c>
      <c r="F8" s="2" t="s">
        <v>75</v>
      </c>
      <c r="G8" s="7">
        <v>1.4999999999999999E-2</v>
      </c>
      <c r="H8" s="2">
        <f>MAX(0,Premissas!$B$14-10)</f>
        <v>10</v>
      </c>
      <c r="I8" s="7">
        <f t="shared" si="0"/>
        <v>0.15</v>
      </c>
      <c r="J8" s="5">
        <f>I8*Premissas!$B$3</f>
        <v>0.74549999999999994</v>
      </c>
      <c r="K8" s="12">
        <v>1</v>
      </c>
      <c r="L8" s="2" t="s">
        <v>99</v>
      </c>
      <c r="M8" s="2" t="s">
        <v>100</v>
      </c>
    </row>
    <row r="9" spans="1:13" x14ac:dyDescent="0.3">
      <c r="A9" s="2" t="s">
        <v>95</v>
      </c>
      <c r="B9" s="2" t="s">
        <v>101</v>
      </c>
      <c r="C9" s="2" t="s">
        <v>97</v>
      </c>
      <c r="D9" s="2" t="s">
        <v>84</v>
      </c>
      <c r="E9" s="2" t="s">
        <v>98</v>
      </c>
      <c r="F9" s="2" t="s">
        <v>75</v>
      </c>
      <c r="G9" s="7">
        <v>4.5</v>
      </c>
      <c r="H9" s="2">
        <f>MAX(0,Premissas!$B$15-1)</f>
        <v>0</v>
      </c>
      <c r="I9" s="7">
        <f t="shared" si="0"/>
        <v>0</v>
      </c>
      <c r="J9" s="5">
        <f>I9*Premissas!$B$3</f>
        <v>0</v>
      </c>
      <c r="K9" s="12">
        <v>1</v>
      </c>
      <c r="L9" s="2" t="s">
        <v>102</v>
      </c>
      <c r="M9" s="2" t="s">
        <v>100</v>
      </c>
    </row>
    <row r="10" spans="1:13" x14ac:dyDescent="0.3">
      <c r="A10" s="2" t="s">
        <v>95</v>
      </c>
      <c r="B10" s="2" t="s">
        <v>103</v>
      </c>
      <c r="C10" s="2" t="s">
        <v>97</v>
      </c>
      <c r="D10" s="2" t="s">
        <v>84</v>
      </c>
      <c r="E10" s="2" t="s">
        <v>98</v>
      </c>
      <c r="F10" s="2" t="s">
        <v>75</v>
      </c>
      <c r="G10" s="7">
        <v>0.36</v>
      </c>
      <c r="H10" s="2">
        <f>MAX(0,Premissas!$B$16-10)</f>
        <v>0</v>
      </c>
      <c r="I10" s="7">
        <f t="shared" si="0"/>
        <v>0</v>
      </c>
      <c r="J10" s="5">
        <f>I10*Premissas!$B$3</f>
        <v>0</v>
      </c>
      <c r="K10" s="12">
        <v>1</v>
      </c>
      <c r="L10" s="2" t="s">
        <v>104</v>
      </c>
      <c r="M10" s="2" t="s">
        <v>100</v>
      </c>
    </row>
    <row r="11" spans="1:13" ht="28.8" x14ac:dyDescent="0.3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69</v>
      </c>
      <c r="F11" s="2" t="s">
        <v>75</v>
      </c>
      <c r="G11" s="7">
        <v>20</v>
      </c>
      <c r="H11" s="2">
        <f>Premissas!$B$20</f>
        <v>0</v>
      </c>
      <c r="I11" s="7">
        <f t="shared" si="0"/>
        <v>0</v>
      </c>
      <c r="J11" s="5">
        <f>I11*Premissas!$B$3</f>
        <v>0</v>
      </c>
      <c r="K11" s="12">
        <v>1</v>
      </c>
      <c r="L11" s="2" t="s">
        <v>109</v>
      </c>
      <c r="M11" s="2" t="s">
        <v>110</v>
      </c>
    </row>
    <row r="12" spans="1:13" x14ac:dyDescent="0.3">
      <c r="A12" s="13" t="s">
        <v>111</v>
      </c>
      <c r="B12" s="13" t="s">
        <v>112</v>
      </c>
      <c r="C12" s="13" t="s">
        <v>113</v>
      </c>
      <c r="D12" s="13" t="s">
        <v>114</v>
      </c>
      <c r="E12" s="13" t="s">
        <v>69</v>
      </c>
      <c r="F12" s="13" t="s">
        <v>75</v>
      </c>
      <c r="G12" s="14">
        <v>7</v>
      </c>
      <c r="H12" s="13">
        <f>Premissas!$B$18</f>
        <v>1</v>
      </c>
      <c r="I12" s="14">
        <f t="shared" si="0"/>
        <v>7</v>
      </c>
      <c r="J12" s="15">
        <f>I12*Premissas!$B$3</f>
        <v>34.79</v>
      </c>
      <c r="K12" s="16">
        <v>1</v>
      </c>
      <c r="L12" s="13" t="s">
        <v>115</v>
      </c>
      <c r="M12" s="13" t="s">
        <v>116</v>
      </c>
    </row>
    <row r="13" spans="1:13" x14ac:dyDescent="0.3">
      <c r="A13" s="2" t="s">
        <v>117</v>
      </c>
      <c r="B13" s="2" t="s">
        <v>118</v>
      </c>
      <c r="C13" s="2" t="s">
        <v>119</v>
      </c>
      <c r="D13" s="2" t="s">
        <v>108</v>
      </c>
      <c r="E13" s="2" t="s">
        <v>69</v>
      </c>
      <c r="F13" s="2" t="s">
        <v>75</v>
      </c>
      <c r="G13" s="7">
        <v>7</v>
      </c>
      <c r="H13" s="2">
        <f>Premissas!$B$19</f>
        <v>1</v>
      </c>
      <c r="I13" s="7">
        <f t="shared" si="0"/>
        <v>7</v>
      </c>
      <c r="J13" s="5">
        <f>I13*Premissas!$B$3</f>
        <v>34.79</v>
      </c>
      <c r="K13" s="12">
        <v>1</v>
      </c>
      <c r="L13" s="2" t="s">
        <v>120</v>
      </c>
      <c r="M13" s="2" t="s">
        <v>121</v>
      </c>
    </row>
    <row r="14" spans="1:13" ht="28.8" x14ac:dyDescent="0.3">
      <c r="A14" s="8" t="s">
        <v>122</v>
      </c>
      <c r="B14" s="8" t="s">
        <v>123</v>
      </c>
      <c r="C14" s="8" t="s">
        <v>124</v>
      </c>
      <c r="D14" s="8" t="s">
        <v>68</v>
      </c>
      <c r="E14" s="8" t="s">
        <v>98</v>
      </c>
      <c r="F14" s="8" t="s">
        <v>14</v>
      </c>
      <c r="G14" s="17">
        <f>Premissas!$B$12</f>
        <v>9.9000000000000008E-3</v>
      </c>
      <c r="H14" s="8">
        <f>Premissas!$B$6*Premissas!$B$7</f>
        <v>15000</v>
      </c>
      <c r="I14" s="9">
        <f t="shared" si="0"/>
        <v>148.5</v>
      </c>
      <c r="J14" s="10">
        <f>I14</f>
        <v>148.5</v>
      </c>
      <c r="K14" s="11">
        <v>1</v>
      </c>
      <c r="L14" s="8" t="s">
        <v>125</v>
      </c>
      <c r="M14" s="8" t="s">
        <v>126</v>
      </c>
    </row>
    <row r="15" spans="1:13" ht="28.8" x14ac:dyDescent="0.3">
      <c r="A15" s="8" t="s">
        <v>122</v>
      </c>
      <c r="B15" s="8" t="s">
        <v>127</v>
      </c>
      <c r="C15" s="8" t="s">
        <v>124</v>
      </c>
      <c r="D15" s="8" t="s">
        <v>68</v>
      </c>
      <c r="E15" s="8" t="s">
        <v>98</v>
      </c>
      <c r="F15" s="8" t="s">
        <v>14</v>
      </c>
      <c r="G15" s="17">
        <f>Premissas!$B$10</f>
        <v>3.9899999999999998E-2</v>
      </c>
      <c r="H15" s="8">
        <f>Premissas!$B$6*Premissas!$B$8</f>
        <v>8750</v>
      </c>
      <c r="I15" s="9">
        <f t="shared" si="0"/>
        <v>349.125</v>
      </c>
      <c r="J15" s="10">
        <f>I15</f>
        <v>349.125</v>
      </c>
      <c r="K15" s="11">
        <v>1</v>
      </c>
      <c r="L15" s="8" t="s">
        <v>128</v>
      </c>
      <c r="M15" s="8" t="s">
        <v>126</v>
      </c>
    </row>
    <row r="16" spans="1:13" ht="28.8" x14ac:dyDescent="0.3">
      <c r="A16" s="2" t="s">
        <v>122</v>
      </c>
      <c r="B16" s="2" t="s">
        <v>129</v>
      </c>
      <c r="C16" s="2" t="s">
        <v>124</v>
      </c>
      <c r="D16" s="2" t="s">
        <v>130</v>
      </c>
      <c r="E16" s="2" t="s">
        <v>98</v>
      </c>
      <c r="F16" s="2" t="s">
        <v>14</v>
      </c>
      <c r="G16" s="6">
        <f>(Premissas!$B$11-Premissas!$B$10)</f>
        <v>1.0000000000000002E-2</v>
      </c>
      <c r="H16" s="2">
        <f>Premissas!$B$6*Premissas!$B$8</f>
        <v>8750</v>
      </c>
      <c r="I16" s="7">
        <f t="shared" si="0"/>
        <v>87.500000000000014</v>
      </c>
      <c r="J16" s="5">
        <f>I16</f>
        <v>87.500000000000014</v>
      </c>
      <c r="K16" s="12">
        <v>0</v>
      </c>
      <c r="L16" s="2" t="s">
        <v>131</v>
      </c>
      <c r="M16" s="2" t="s">
        <v>126</v>
      </c>
    </row>
    <row r="17" spans="1:13" ht="28.8" x14ac:dyDescent="0.3">
      <c r="A17" s="8" t="s">
        <v>122</v>
      </c>
      <c r="B17" s="8" t="s">
        <v>132</v>
      </c>
      <c r="C17" s="8" t="s">
        <v>124</v>
      </c>
      <c r="D17" s="8" t="s">
        <v>68</v>
      </c>
      <c r="E17" s="8" t="s">
        <v>98</v>
      </c>
      <c r="F17" s="8" t="s">
        <v>14</v>
      </c>
      <c r="G17" s="9">
        <f>Premissas!$B$13</f>
        <v>3.49</v>
      </c>
      <c r="H17" s="8">
        <f>Premissas!$B$4*Premissas!$B$9</f>
        <v>5</v>
      </c>
      <c r="I17" s="9">
        <f t="shared" si="0"/>
        <v>17.450000000000003</v>
      </c>
      <c r="J17" s="10">
        <f>I17</f>
        <v>17.450000000000003</v>
      </c>
      <c r="K17" s="11">
        <v>1</v>
      </c>
      <c r="L17" s="8" t="s">
        <v>133</v>
      </c>
      <c r="M17" s="8" t="s">
        <v>126</v>
      </c>
    </row>
    <row r="18" spans="1:13" ht="43.2" x14ac:dyDescent="0.3">
      <c r="A18" s="2" t="s">
        <v>134</v>
      </c>
      <c r="B18" s="2" t="s">
        <v>135</v>
      </c>
      <c r="C18" s="2" t="s">
        <v>136</v>
      </c>
      <c r="D18" s="2" t="s">
        <v>84</v>
      </c>
      <c r="E18" s="2" t="s">
        <v>98</v>
      </c>
      <c r="F18" s="2" t="s">
        <v>14</v>
      </c>
      <c r="G18" s="7">
        <f>Premissas!$B$23*SUMPRODUCT(($F$2:$F$13="USD")*($K$2:$K$13=1)*($I$2:$I$13))*Premissas!$B$3</f>
        <v>8.5496424999999991</v>
      </c>
      <c r="H18" s="2">
        <v>1</v>
      </c>
      <c r="I18" s="7">
        <f t="shared" si="0"/>
        <v>8.5496424999999991</v>
      </c>
      <c r="J18" s="5">
        <f>I18</f>
        <v>8.5496424999999991</v>
      </c>
      <c r="K18" s="12">
        <v>1</v>
      </c>
      <c r="L18" s="2" t="s">
        <v>137</v>
      </c>
      <c r="M18" s="2" t="s">
        <v>138</v>
      </c>
    </row>
    <row r="19" spans="1:13" ht="28.8" x14ac:dyDescent="0.3">
      <c r="A19" s="18" t="s">
        <v>139</v>
      </c>
      <c r="B19" s="18" t="s">
        <v>140</v>
      </c>
      <c r="C19" s="18" t="s">
        <v>141</v>
      </c>
      <c r="D19" s="18" t="s">
        <v>142</v>
      </c>
      <c r="E19" s="18" t="s">
        <v>143</v>
      </c>
      <c r="F19" s="18" t="s">
        <v>75</v>
      </c>
      <c r="G19" s="19">
        <v>0</v>
      </c>
      <c r="H19" s="18">
        <v>1</v>
      </c>
      <c r="I19" s="19">
        <f>0</f>
        <v>0</v>
      </c>
      <c r="J19" s="20">
        <f>0</f>
        <v>0</v>
      </c>
      <c r="K19" s="21">
        <v>0</v>
      </c>
      <c r="L19" s="18" t="s">
        <v>144</v>
      </c>
      <c r="M19" s="18" t="s">
        <v>82</v>
      </c>
    </row>
    <row r="20" spans="1:13" ht="28.8" x14ac:dyDescent="0.3">
      <c r="A20" s="18" t="s">
        <v>139</v>
      </c>
      <c r="B20" s="18" t="s">
        <v>145</v>
      </c>
      <c r="C20" s="18" t="s">
        <v>80</v>
      </c>
      <c r="D20" s="18" t="s">
        <v>142</v>
      </c>
      <c r="E20" s="18" t="s">
        <v>143</v>
      </c>
      <c r="F20" s="18" t="s">
        <v>75</v>
      </c>
      <c r="G20" s="19">
        <v>0</v>
      </c>
      <c r="H20" s="18">
        <v>1</v>
      </c>
      <c r="I20" s="19">
        <f>0</f>
        <v>0</v>
      </c>
      <c r="J20" s="20">
        <f>0</f>
        <v>0</v>
      </c>
      <c r="K20" s="21">
        <v>0</v>
      </c>
      <c r="L20" s="18" t="s">
        <v>146</v>
      </c>
      <c r="M20" s="18" t="s">
        <v>82</v>
      </c>
    </row>
    <row r="21" spans="1:13" x14ac:dyDescent="0.3">
      <c r="A21" s="18" t="s">
        <v>139</v>
      </c>
      <c r="B21" s="18" t="s">
        <v>147</v>
      </c>
      <c r="C21" s="18" t="s">
        <v>91</v>
      </c>
      <c r="D21" s="18" t="s">
        <v>142</v>
      </c>
      <c r="E21" s="18" t="s">
        <v>143</v>
      </c>
      <c r="F21" s="18" t="s">
        <v>75</v>
      </c>
      <c r="G21" s="19">
        <v>0</v>
      </c>
      <c r="H21" s="18">
        <v>1</v>
      </c>
      <c r="I21" s="19">
        <f>0</f>
        <v>0</v>
      </c>
      <c r="J21" s="20">
        <f>0</f>
        <v>0</v>
      </c>
      <c r="K21" s="21">
        <v>0</v>
      </c>
      <c r="L21" s="18" t="s">
        <v>148</v>
      </c>
      <c r="M21" s="18" t="s">
        <v>94</v>
      </c>
    </row>
    <row r="22" spans="1:13" ht="28.8" x14ac:dyDescent="0.3">
      <c r="A22" s="18" t="s">
        <v>149</v>
      </c>
      <c r="B22" s="18" t="s">
        <v>150</v>
      </c>
      <c r="C22" s="18" t="s">
        <v>124</v>
      </c>
      <c r="D22" s="18" t="s">
        <v>142</v>
      </c>
      <c r="E22" s="18" t="s">
        <v>143</v>
      </c>
      <c r="F22" s="18" t="s">
        <v>14</v>
      </c>
      <c r="G22" s="19">
        <v>0</v>
      </c>
      <c r="H22" s="18">
        <v>1</v>
      </c>
      <c r="I22" s="19">
        <f>0</f>
        <v>0</v>
      </c>
      <c r="J22" s="20">
        <f>0</f>
        <v>0</v>
      </c>
      <c r="K22" s="21">
        <v>0</v>
      </c>
      <c r="L22" s="18" t="s">
        <v>151</v>
      </c>
      <c r="M22" s="18" t="s">
        <v>152</v>
      </c>
    </row>
  </sheetData>
  <autoFilter ref="A1:M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54" customWidth="1"/>
  </cols>
  <sheetData>
    <row r="1" spans="1:3" x14ac:dyDescent="0.3">
      <c r="A1" s="1" t="s">
        <v>153</v>
      </c>
      <c r="B1" s="1" t="s">
        <v>154</v>
      </c>
      <c r="C1" s="1" t="s">
        <v>3</v>
      </c>
    </row>
    <row r="2" spans="1:3" x14ac:dyDescent="0.3">
      <c r="A2" s="2" t="s">
        <v>155</v>
      </c>
      <c r="B2" s="5">
        <f>SUMPRODUCT((Custos!$E$2:$E$22&lt;&gt;"Variavel")*(Custos!$E$2:$E$22&lt;&gt;"Overage")*(Custos!$D$2:$D$22="Obrigatorio")*(Custos!$K$2:$K$22=1)*Custos!$J$2:$J$22)</f>
        <v>177.2833333333333</v>
      </c>
      <c r="C2" s="2" t="s">
        <v>156</v>
      </c>
    </row>
    <row r="3" spans="1:3" x14ac:dyDescent="0.3">
      <c r="A3" s="2" t="s">
        <v>157</v>
      </c>
      <c r="B3" s="5">
        <f>SUMPRODUCT((Custos!$E$2:$E$22&lt;&gt;"Variavel")*(Custos!$E$2:$E$22&lt;&gt;"Overage")*((Custos!$D$2:$D$22="Recomendado")+(Custos!$D$2:$D$22="Opcional"))*(Custos!$K$2:$K$22=1)*Custos!$J$2:$J$22)</f>
        <v>69.58</v>
      </c>
      <c r="C3" s="2" t="s">
        <v>158</v>
      </c>
    </row>
    <row r="4" spans="1:3" ht="28.8" x14ac:dyDescent="0.3">
      <c r="A4" s="2" t="s">
        <v>159</v>
      </c>
      <c r="B4" s="5">
        <f>SUMPRODUCT((Custos!$E$2:$E$22="Variavel")*(Custos!$K$2:$K$22=1)*Custos!$J$2:$J$22)</f>
        <v>524.37014250000004</v>
      </c>
      <c r="C4" s="2" t="s">
        <v>160</v>
      </c>
    </row>
    <row r="5" spans="1:3" x14ac:dyDescent="0.3">
      <c r="A5" s="2" t="s">
        <v>161</v>
      </c>
      <c r="B5" s="5">
        <f>SUMPRODUCT((Custos!$E$2:$E$22="Overage")*(Custos!$K$2:$K$22=1)*Custos!$J$2:$J$22)</f>
        <v>0</v>
      </c>
      <c r="C5" s="2" t="s">
        <v>162</v>
      </c>
    </row>
    <row r="6" spans="1:3" x14ac:dyDescent="0.3">
      <c r="A6" s="2" t="s">
        <v>163</v>
      </c>
      <c r="B6" s="5">
        <f>B2+B3+B4+B5</f>
        <v>771.23347583333339</v>
      </c>
      <c r="C6" s="2" t="s">
        <v>164</v>
      </c>
    </row>
    <row r="7" spans="1:3" ht="28.8" x14ac:dyDescent="0.3">
      <c r="A7" s="2" t="s">
        <v>165</v>
      </c>
      <c r="B7" s="5">
        <f>Custos!J16</f>
        <v>87.500000000000014</v>
      </c>
      <c r="C7" s="2" t="s">
        <v>166</v>
      </c>
    </row>
    <row r="8" spans="1:3" x14ac:dyDescent="0.3">
      <c r="A8" s="2" t="s">
        <v>167</v>
      </c>
      <c r="B8" s="2">
        <f>B6+B7</f>
        <v>858.73347583333339</v>
      </c>
      <c r="C8" s="2" t="s">
        <v>168</v>
      </c>
    </row>
    <row r="9" spans="1:3" ht="28.8" x14ac:dyDescent="0.3">
      <c r="A9" s="2" t="s">
        <v>169</v>
      </c>
      <c r="B9" s="2" t="s">
        <v>170</v>
      </c>
      <c r="C9" s="2" t="s">
        <v>171</v>
      </c>
    </row>
  </sheetData>
  <autoFilter ref="A1:C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54" customWidth="1"/>
    <col min="3" max="3" width="51" customWidth="1"/>
    <col min="4" max="4" width="16" customWidth="1"/>
  </cols>
  <sheetData>
    <row r="1" spans="1:4" x14ac:dyDescent="0.3">
      <c r="A1" s="1" t="s">
        <v>64</v>
      </c>
      <c r="B1" s="1" t="s">
        <v>172</v>
      </c>
      <c r="C1" s="1" t="s">
        <v>173</v>
      </c>
      <c r="D1" s="1" t="s">
        <v>174</v>
      </c>
    </row>
    <row r="2" spans="1:4" x14ac:dyDescent="0.3">
      <c r="A2" s="2" t="s">
        <v>67</v>
      </c>
      <c r="B2" s="2" t="s">
        <v>71</v>
      </c>
      <c r="C2" s="2" t="s">
        <v>175</v>
      </c>
      <c r="D2" s="2" t="s">
        <v>5</v>
      </c>
    </row>
    <row r="3" spans="1:4" x14ac:dyDescent="0.3">
      <c r="A3" s="2" t="s">
        <v>73</v>
      </c>
      <c r="B3" s="2" t="s">
        <v>77</v>
      </c>
      <c r="C3" s="2" t="s">
        <v>176</v>
      </c>
      <c r="D3" s="2" t="s">
        <v>5</v>
      </c>
    </row>
    <row r="4" spans="1:4" x14ac:dyDescent="0.3">
      <c r="A4" s="2" t="s">
        <v>177</v>
      </c>
      <c r="B4" s="2" t="s">
        <v>82</v>
      </c>
      <c r="C4" s="2" t="s">
        <v>178</v>
      </c>
      <c r="D4" s="2" t="s">
        <v>5</v>
      </c>
    </row>
    <row r="5" spans="1:4" x14ac:dyDescent="0.3">
      <c r="A5" s="2" t="s">
        <v>179</v>
      </c>
      <c r="B5" s="2" t="s">
        <v>94</v>
      </c>
      <c r="C5" s="2" t="s">
        <v>180</v>
      </c>
      <c r="D5" s="2" t="s">
        <v>5</v>
      </c>
    </row>
    <row r="6" spans="1:4" x14ac:dyDescent="0.3">
      <c r="A6" s="2" t="s">
        <v>181</v>
      </c>
      <c r="B6" s="2" t="s">
        <v>100</v>
      </c>
      <c r="C6" s="2" t="s">
        <v>182</v>
      </c>
      <c r="D6" s="2" t="s">
        <v>5</v>
      </c>
    </row>
    <row r="7" spans="1:4" x14ac:dyDescent="0.3">
      <c r="A7" s="2" t="s">
        <v>183</v>
      </c>
      <c r="B7" s="2" t="s">
        <v>110</v>
      </c>
      <c r="C7" s="2" t="s">
        <v>184</v>
      </c>
      <c r="D7" s="2" t="s">
        <v>5</v>
      </c>
    </row>
    <row r="8" spans="1:4" x14ac:dyDescent="0.3">
      <c r="A8" s="2" t="s">
        <v>185</v>
      </c>
      <c r="B8" s="2" t="s">
        <v>116</v>
      </c>
      <c r="C8" s="2" t="s">
        <v>186</v>
      </c>
      <c r="D8" s="2" t="s">
        <v>5</v>
      </c>
    </row>
    <row r="9" spans="1:4" x14ac:dyDescent="0.3">
      <c r="A9" s="2" t="s">
        <v>187</v>
      </c>
      <c r="B9" s="2" t="s">
        <v>121</v>
      </c>
      <c r="C9" s="2" t="s">
        <v>188</v>
      </c>
      <c r="D9" s="2" t="s">
        <v>5</v>
      </c>
    </row>
    <row r="10" spans="1:4" ht="28.8" x14ac:dyDescent="0.3">
      <c r="A10" s="2" t="s">
        <v>189</v>
      </c>
      <c r="B10" s="2" t="s">
        <v>126</v>
      </c>
      <c r="C10" s="2" t="s">
        <v>190</v>
      </c>
      <c r="D10" s="2" t="s">
        <v>5</v>
      </c>
    </row>
    <row r="11" spans="1:4" ht="28.8" x14ac:dyDescent="0.3">
      <c r="A11" s="2" t="s">
        <v>191</v>
      </c>
      <c r="B11" s="2" t="s">
        <v>152</v>
      </c>
      <c r="C11" s="2" t="s">
        <v>192</v>
      </c>
      <c r="D11" s="2" t="s">
        <v>5</v>
      </c>
    </row>
    <row r="12" spans="1:4" ht="28.8" x14ac:dyDescent="0.3">
      <c r="A12" s="2" t="s">
        <v>193</v>
      </c>
      <c r="B12" s="2" t="s">
        <v>194</v>
      </c>
      <c r="C12" s="2" t="s">
        <v>195</v>
      </c>
      <c r="D12" s="2" t="s">
        <v>5</v>
      </c>
    </row>
    <row r="13" spans="1:4" ht="43.2" x14ac:dyDescent="0.3">
      <c r="A13" s="2" t="s">
        <v>196</v>
      </c>
      <c r="B13" s="2" t="s">
        <v>138</v>
      </c>
      <c r="C13" s="2" t="s">
        <v>197</v>
      </c>
      <c r="D13" s="2" t="s">
        <v>5</v>
      </c>
    </row>
  </sheetData>
  <autoFilter ref="A1:D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Premissas</vt:lpstr>
      <vt:lpstr>Custos</vt:lpstr>
      <vt:lpstr>Resumo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Lorençone Enz</cp:lastModifiedBy>
  <dcterms:created xsi:type="dcterms:W3CDTF">2026-04-28T13:53:12Z</dcterms:created>
  <dcterms:modified xsi:type="dcterms:W3CDTF">2026-04-28T13:53:12Z</dcterms:modified>
</cp:coreProperties>
</file>